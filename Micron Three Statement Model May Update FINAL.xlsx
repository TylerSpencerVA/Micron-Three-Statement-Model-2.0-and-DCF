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Micron FSM/"/>
    </mc:Choice>
  </mc:AlternateContent>
  <xr:revisionPtr revIDLastSave="20" documentId="13_ncr:1_{E1C433D5-3D87-42DB-95F9-5A44B6E6AC26}" xr6:coauthVersionLast="47" xr6:coauthVersionMax="47" xr10:uidLastSave="{E25CDF8B-F657-4833-A15B-03A467D5B2C7}"/>
  <bookViews>
    <workbookView xWindow="-120" yWindow="-120" windowWidth="29040" windowHeight="15840" xr2:uid="{290D46E5-3F9E-47F2-82EA-07C5FF78B19B}"/>
  </bookViews>
  <sheets>
    <sheet name="FSM Forecast" sheetId="1" r:id="rId1"/>
    <sheet name="Revenue Build" sheetId="2" r:id="rId2"/>
    <sheet name="DCF" sheetId="4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K129" i="1"/>
  <c r="J129" i="1"/>
  <c r="I129" i="1"/>
  <c r="H129" i="1"/>
  <c r="G129" i="1"/>
  <c r="G97" i="1" s="1"/>
  <c r="D153" i="4"/>
  <c r="F153" i="4"/>
  <c r="F154" i="4"/>
  <c r="D154" i="4"/>
  <c r="E154" i="4" s="1"/>
  <c r="E155" i="4"/>
  <c r="G119" i="4"/>
  <c r="O119" i="4"/>
  <c r="N119" i="4" s="1"/>
  <c r="Q119" i="4"/>
  <c r="R119" i="4" s="1"/>
  <c r="F119" i="4"/>
  <c r="C153" i="4" s="1"/>
  <c r="I119" i="4"/>
  <c r="J119" i="4" s="1"/>
  <c r="Q110" i="4"/>
  <c r="R110" i="4" s="1"/>
  <c r="O110" i="4"/>
  <c r="N110" i="4" s="1"/>
  <c r="M123" i="4"/>
  <c r="M121" i="4"/>
  <c r="M120" i="4" s="1"/>
  <c r="M114" i="4"/>
  <c r="M112" i="4"/>
  <c r="M111" i="4" s="1"/>
  <c r="E123" i="4"/>
  <c r="E121" i="4"/>
  <c r="E120" i="4" s="1"/>
  <c r="E114" i="4"/>
  <c r="E112" i="4"/>
  <c r="E111" i="4" s="1"/>
  <c r="H9" i="4"/>
  <c r="I6" i="4"/>
  <c r="D8" i="4"/>
  <c r="D56" i="4" s="1"/>
  <c r="D73" i="4"/>
  <c r="I5" i="4"/>
  <c r="F43" i="4"/>
  <c r="F42" i="4"/>
  <c r="F40" i="4"/>
  <c r="C53" i="4"/>
  <c r="G27" i="4"/>
  <c r="H27" i="4"/>
  <c r="I27" i="4"/>
  <c r="J27" i="4"/>
  <c r="F27" i="4"/>
  <c r="E22" i="4"/>
  <c r="F22" i="4"/>
  <c r="G22" i="4"/>
  <c r="H22" i="4"/>
  <c r="I22" i="4"/>
  <c r="J22" i="4"/>
  <c r="E18" i="4"/>
  <c r="E16" i="4" s="1"/>
  <c r="E17" i="4" s="1"/>
  <c r="E14" i="4"/>
  <c r="E12" i="4"/>
  <c r="F12" i="4"/>
  <c r="J12" i="4"/>
  <c r="I12" i="4"/>
  <c r="H12" i="4"/>
  <c r="I55" i="4" s="1"/>
  <c r="G12" i="4"/>
  <c r="G11" i="4"/>
  <c r="H11" i="4" s="1"/>
  <c r="I11" i="4" s="1"/>
  <c r="J11" i="4" s="1"/>
  <c r="D83" i="4"/>
  <c r="D90" i="4" s="1"/>
  <c r="E55" i="4"/>
  <c r="E19" i="4"/>
  <c r="H165" i="1"/>
  <c r="I165" i="1"/>
  <c r="J165" i="1"/>
  <c r="K165" i="1"/>
  <c r="G165" i="1"/>
  <c r="H35" i="1"/>
  <c r="I35" i="1" s="1"/>
  <c r="J35" i="1" s="1"/>
  <c r="K35" i="1" s="1"/>
  <c r="G35" i="1"/>
  <c r="E43" i="1"/>
  <c r="F43" i="1"/>
  <c r="G161" i="1"/>
  <c r="G128" i="1"/>
  <c r="G55" i="1"/>
  <c r="H55" i="1" s="1"/>
  <c r="I55" i="1" s="1"/>
  <c r="J55" i="1" s="1"/>
  <c r="K55" i="1" s="1"/>
  <c r="G56" i="1"/>
  <c r="H56" i="1" s="1"/>
  <c r="I56" i="1" s="1"/>
  <c r="J56" i="1" s="1"/>
  <c r="K56" i="1" s="1"/>
  <c r="G57" i="1"/>
  <c r="H57" i="1" s="1"/>
  <c r="I57" i="1" s="1"/>
  <c r="J57" i="1" s="1"/>
  <c r="K57" i="1" s="1"/>
  <c r="G66" i="1"/>
  <c r="H66" i="1" s="1"/>
  <c r="I66" i="1" s="1"/>
  <c r="J66" i="1" s="1"/>
  <c r="K66" i="1" s="1"/>
  <c r="G65" i="1"/>
  <c r="H65" i="1" s="1"/>
  <c r="I65" i="1" s="1"/>
  <c r="J65" i="1" s="1"/>
  <c r="K65" i="1" s="1"/>
  <c r="G70" i="1"/>
  <c r="H70" i="1" s="1"/>
  <c r="I70" i="1" s="1"/>
  <c r="J70" i="1" s="1"/>
  <c r="K70" i="1" s="1"/>
  <c r="H244" i="1"/>
  <c r="I244" i="1"/>
  <c r="J244" i="1"/>
  <c r="K244" i="1"/>
  <c r="G244" i="1"/>
  <c r="J22" i="2"/>
  <c r="F112" i="1"/>
  <c r="G112" i="1" s="1"/>
  <c r="H112" i="1" s="1"/>
  <c r="I112" i="1" s="1"/>
  <c r="J112" i="1" s="1"/>
  <c r="K112" i="1" s="1"/>
  <c r="H3" i="2"/>
  <c r="G234" i="1"/>
  <c r="G22" i="2"/>
  <c r="G8" i="2" s="1"/>
  <c r="H23" i="2"/>
  <c r="I23" i="2"/>
  <c r="J23" i="2"/>
  <c r="K23" i="2"/>
  <c r="G23" i="2"/>
  <c r="G9" i="2" s="1"/>
  <c r="H22" i="2"/>
  <c r="I22" i="2"/>
  <c r="K22" i="2"/>
  <c r="F4" i="2"/>
  <c r="F16" i="1"/>
  <c r="E4" i="2"/>
  <c r="K4" i="2"/>
  <c r="J4" i="2"/>
  <c r="I4" i="2"/>
  <c r="H4" i="2"/>
  <c r="G4" i="2"/>
  <c r="I3" i="2"/>
  <c r="J3" i="2" s="1"/>
  <c r="K3" i="2" s="1"/>
  <c r="F10" i="2"/>
  <c r="E10" i="2"/>
  <c r="E180" i="1"/>
  <c r="G236" i="1"/>
  <c r="D180" i="1"/>
  <c r="G240" i="1"/>
  <c r="H240" i="1"/>
  <c r="I240" i="1"/>
  <c r="J240" i="1"/>
  <c r="K240" i="1"/>
  <c r="K234" i="1"/>
  <c r="E153" i="4" l="1"/>
  <c r="J55" i="4"/>
  <c r="F55" i="4"/>
  <c r="H55" i="4"/>
  <c r="E90" i="4"/>
  <c r="G55" i="4"/>
  <c r="F44" i="4"/>
  <c r="E21" i="4"/>
  <c r="E23" i="4"/>
  <c r="C62" i="4"/>
  <c r="C61" i="4"/>
  <c r="F62" i="4"/>
  <c r="F11" i="2"/>
  <c r="J234" i="1"/>
  <c r="I234" i="1"/>
  <c r="H234" i="1"/>
  <c r="G227" i="1"/>
  <c r="G228" i="1" s="1"/>
  <c r="H8" i="2"/>
  <c r="I8" i="2" s="1"/>
  <c r="J8" i="2" s="1"/>
  <c r="K8" i="2" s="1"/>
  <c r="K227" i="1" s="1"/>
  <c r="K228" i="1" s="1"/>
  <c r="H9" i="2"/>
  <c r="G231" i="1"/>
  <c r="H236" i="1"/>
  <c r="G10" i="2"/>
  <c r="G11" i="2" s="1"/>
  <c r="K236" i="1"/>
  <c r="J236" i="1"/>
  <c r="I236" i="1"/>
  <c r="J227" i="1" l="1"/>
  <c r="J226" i="1" s="1"/>
  <c r="H227" i="1"/>
  <c r="H226" i="1" s="1"/>
  <c r="H10" i="2"/>
  <c r="H11" i="2" s="1"/>
  <c r="I227" i="1"/>
  <c r="I228" i="1" s="1"/>
  <c r="G226" i="1"/>
  <c r="K226" i="1"/>
  <c r="G232" i="1"/>
  <c r="G230" i="1"/>
  <c r="I9" i="2"/>
  <c r="H231" i="1"/>
  <c r="I226" i="1" l="1"/>
  <c r="H228" i="1"/>
  <c r="J228" i="1"/>
  <c r="H230" i="1"/>
  <c r="H232" i="1"/>
  <c r="J9" i="2"/>
  <c r="I231" i="1"/>
  <c r="I10" i="2"/>
  <c r="I11" i="2" s="1"/>
  <c r="F180" i="1"/>
  <c r="H238" i="1"/>
  <c r="I238" i="1"/>
  <c r="J238" i="1"/>
  <c r="K238" i="1"/>
  <c r="G238" i="1"/>
  <c r="H242" i="1"/>
  <c r="I242" i="1"/>
  <c r="J242" i="1"/>
  <c r="K242" i="1"/>
  <c r="G242" i="1"/>
  <c r="D213" i="1"/>
  <c r="G217" i="1" s="1"/>
  <c r="E75" i="1"/>
  <c r="F170" i="1"/>
  <c r="F153" i="1"/>
  <c r="E153" i="1"/>
  <c r="G54" i="1"/>
  <c r="H54" i="1" s="1"/>
  <c r="I54" i="1" s="1"/>
  <c r="J54" i="1" s="1"/>
  <c r="K54" i="1" s="1"/>
  <c r="E49" i="1"/>
  <c r="E170" i="1"/>
  <c r="D170" i="1"/>
  <c r="E157" i="1"/>
  <c r="E158" i="1" s="1"/>
  <c r="F157" i="1"/>
  <c r="D153" i="1"/>
  <c r="E146" i="1"/>
  <c r="F146" i="1"/>
  <c r="G143" i="1" s="1"/>
  <c r="H218" i="1" l="1"/>
  <c r="I232" i="1"/>
  <c r="I230" i="1"/>
  <c r="K9" i="2"/>
  <c r="J231" i="1"/>
  <c r="J10" i="2"/>
  <c r="J11" i="2" s="1"/>
  <c r="F220" i="1"/>
  <c r="F219" i="1"/>
  <c r="F218" i="1"/>
  <c r="F223" i="1"/>
  <c r="F221" i="1"/>
  <c r="F217" i="1"/>
  <c r="F222" i="1"/>
  <c r="H221" i="1"/>
  <c r="H40" i="1" s="1"/>
  <c r="G218" i="1"/>
  <c r="G221" i="1"/>
  <c r="G40" i="1" s="1"/>
  <c r="G222" i="1"/>
  <c r="G41" i="1" s="1"/>
  <c r="I218" i="1"/>
  <c r="G223" i="1"/>
  <c r="G42" i="1" s="1"/>
  <c r="K222" i="1"/>
  <c r="K41" i="1" s="1"/>
  <c r="J223" i="1"/>
  <c r="J42" i="1" s="1"/>
  <c r="J222" i="1"/>
  <c r="J41" i="1" s="1"/>
  <c r="K223" i="1"/>
  <c r="K42" i="1" s="1"/>
  <c r="H217" i="1"/>
  <c r="I223" i="1"/>
  <c r="I42" i="1" s="1"/>
  <c r="H223" i="1"/>
  <c r="H42" i="1" s="1"/>
  <c r="I222" i="1"/>
  <c r="I41" i="1" s="1"/>
  <c r="H222" i="1"/>
  <c r="H41" i="1" s="1"/>
  <c r="K221" i="1"/>
  <c r="K40" i="1" s="1"/>
  <c r="J221" i="1"/>
  <c r="J40" i="1" s="1"/>
  <c r="I221" i="1"/>
  <c r="I40" i="1" s="1"/>
  <c r="F158" i="1"/>
  <c r="J232" i="1" l="1"/>
  <c r="J230" i="1"/>
  <c r="K231" i="1"/>
  <c r="K10" i="2"/>
  <c r="K11" i="2" s="1"/>
  <c r="J218" i="1"/>
  <c r="G219" i="1"/>
  <c r="G220" i="1" s="1"/>
  <c r="G39" i="1" s="1"/>
  <c r="H219" i="1"/>
  <c r="I217" i="1"/>
  <c r="I219" i="1" s="1"/>
  <c r="H92" i="1"/>
  <c r="H93" i="1" s="1"/>
  <c r="I92" i="1"/>
  <c r="I93" i="1" s="1"/>
  <c r="J92" i="1"/>
  <c r="J93" i="1" s="1"/>
  <c r="K92" i="1"/>
  <c r="K93" i="1" s="1"/>
  <c r="G92" i="1"/>
  <c r="G93" i="1" s="1"/>
  <c r="H128" i="1"/>
  <c r="E130" i="1"/>
  <c r="F130" i="1"/>
  <c r="G126" i="1" s="1"/>
  <c r="F123" i="1"/>
  <c r="G120" i="1" s="1"/>
  <c r="E123" i="1"/>
  <c r="H116" i="1"/>
  <c r="I116" i="1" s="1"/>
  <c r="J116" i="1" s="1"/>
  <c r="K116" i="1" s="1"/>
  <c r="E117" i="1"/>
  <c r="E115" i="1" s="1"/>
  <c r="E116" i="1" s="1"/>
  <c r="F117" i="1"/>
  <c r="F115" i="1" s="1"/>
  <c r="F116" i="1" s="1"/>
  <c r="E110" i="1"/>
  <c r="D117" i="1"/>
  <c r="D115" i="1" s="1"/>
  <c r="D116" i="1" s="1"/>
  <c r="F110" i="1"/>
  <c r="G107" i="1" s="1"/>
  <c r="G62" i="1" l="1"/>
  <c r="G18" i="1"/>
  <c r="G50" i="1"/>
  <c r="K232" i="1"/>
  <c r="K230" i="1"/>
  <c r="K218" i="1"/>
  <c r="I220" i="1"/>
  <c r="I39" i="1" s="1"/>
  <c r="H220" i="1"/>
  <c r="H39" i="1" s="1"/>
  <c r="K217" i="1"/>
  <c r="J217" i="1"/>
  <c r="J219" i="1" s="1"/>
  <c r="G98" i="1"/>
  <c r="I128" i="1"/>
  <c r="H98" i="1"/>
  <c r="H97" i="1"/>
  <c r="G21" i="1" l="1"/>
  <c r="F14" i="4"/>
  <c r="G22" i="1"/>
  <c r="K219" i="1"/>
  <c r="K220" i="1" s="1"/>
  <c r="K39" i="1" s="1"/>
  <c r="H18" i="1"/>
  <c r="G14" i="4" s="1"/>
  <c r="J220" i="1"/>
  <c r="J39" i="1" s="1"/>
  <c r="I97" i="1"/>
  <c r="I98" i="1"/>
  <c r="J128" i="1"/>
  <c r="F15" i="4" l="1"/>
  <c r="F28" i="4"/>
  <c r="G28" i="4"/>
  <c r="G15" i="4"/>
  <c r="H22" i="1"/>
  <c r="H21" i="1"/>
  <c r="I18" i="1"/>
  <c r="J98" i="1"/>
  <c r="K128" i="1"/>
  <c r="K98" i="1" s="1"/>
  <c r="K97" i="1"/>
  <c r="J97" i="1"/>
  <c r="I22" i="1" l="1"/>
  <c r="H14" i="4"/>
  <c r="I21" i="1"/>
  <c r="J18" i="1"/>
  <c r="I14" i="4" s="1"/>
  <c r="D112" i="1"/>
  <c r="E112" i="1"/>
  <c r="G67" i="1"/>
  <c r="G89" i="1" s="1"/>
  <c r="H62" i="1"/>
  <c r="I62" i="1" s="1"/>
  <c r="J62" i="1" s="1"/>
  <c r="K62" i="1" s="1"/>
  <c r="G58" i="1"/>
  <c r="G52" i="1"/>
  <c r="H52" i="1" s="1"/>
  <c r="I52" i="1" s="1"/>
  <c r="J52" i="1" s="1"/>
  <c r="K52" i="1" s="1"/>
  <c r="H50" i="1"/>
  <c r="G115" i="1"/>
  <c r="H28" i="4" l="1"/>
  <c r="H15" i="4"/>
  <c r="I15" i="4"/>
  <c r="I28" i="4"/>
  <c r="K18" i="1"/>
  <c r="J22" i="1"/>
  <c r="J21" i="1"/>
  <c r="H67" i="1"/>
  <c r="I67" i="1" s="1"/>
  <c r="G121" i="1"/>
  <c r="H58" i="1"/>
  <c r="G123" i="1"/>
  <c r="I50" i="1"/>
  <c r="K22" i="1" l="1"/>
  <c r="J14" i="4"/>
  <c r="K21" i="1"/>
  <c r="H89" i="1"/>
  <c r="G122" i="1"/>
  <c r="G88" i="1" s="1"/>
  <c r="H120" i="1"/>
  <c r="I58" i="1"/>
  <c r="H123" i="1"/>
  <c r="I120" i="1" s="1"/>
  <c r="J67" i="1"/>
  <c r="I89" i="1"/>
  <c r="J50" i="1"/>
  <c r="J15" i="4" l="1"/>
  <c r="J28" i="4"/>
  <c r="K67" i="1"/>
  <c r="K89" i="1" s="1"/>
  <c r="J89" i="1"/>
  <c r="J58" i="1"/>
  <c r="I123" i="1"/>
  <c r="K50" i="1"/>
  <c r="J120" i="1" l="1"/>
  <c r="K58" i="1"/>
  <c r="K123" i="1" s="1"/>
  <c r="J123" i="1"/>
  <c r="K120" i="1" s="1"/>
  <c r="G20" i="1"/>
  <c r="G25" i="1" s="1"/>
  <c r="F18" i="4" s="1"/>
  <c r="G28" i="1"/>
  <c r="H28" i="1" s="1"/>
  <c r="I28" i="1" s="1"/>
  <c r="J28" i="1" s="1"/>
  <c r="F39" i="1"/>
  <c r="E68" i="1"/>
  <c r="F49" i="1"/>
  <c r="E59" i="1"/>
  <c r="F68" i="1"/>
  <c r="F151" i="1"/>
  <c r="F134" i="1"/>
  <c r="F105" i="1"/>
  <c r="F48" i="1"/>
  <c r="K134" i="1"/>
  <c r="J134" i="1"/>
  <c r="I134" i="1"/>
  <c r="H134" i="1"/>
  <c r="G134" i="1"/>
  <c r="E134" i="1"/>
  <c r="D134" i="1"/>
  <c r="H133" i="1"/>
  <c r="I133" i="1" s="1"/>
  <c r="J133" i="1" s="1"/>
  <c r="K133" i="1" s="1"/>
  <c r="E133" i="1"/>
  <c r="D133" i="1" s="1"/>
  <c r="K151" i="1"/>
  <c r="J151" i="1"/>
  <c r="I151" i="1"/>
  <c r="H151" i="1"/>
  <c r="G151" i="1"/>
  <c r="E151" i="1"/>
  <c r="D151" i="1"/>
  <c r="H150" i="1"/>
  <c r="I150" i="1" s="1"/>
  <c r="J150" i="1" s="1"/>
  <c r="K150" i="1" s="1"/>
  <c r="E150" i="1"/>
  <c r="D150" i="1" s="1"/>
  <c r="K105" i="1"/>
  <c r="J105" i="1"/>
  <c r="I105" i="1"/>
  <c r="H105" i="1"/>
  <c r="G105" i="1"/>
  <c r="E105" i="1"/>
  <c r="D105" i="1"/>
  <c r="H104" i="1"/>
  <c r="I104" i="1" s="1"/>
  <c r="J104" i="1" s="1"/>
  <c r="K104" i="1" s="1"/>
  <c r="E104" i="1"/>
  <c r="D104" i="1" s="1"/>
  <c r="K81" i="1"/>
  <c r="J81" i="1"/>
  <c r="I81" i="1"/>
  <c r="H81" i="1"/>
  <c r="G81" i="1"/>
  <c r="H80" i="1"/>
  <c r="I80" i="1" s="1"/>
  <c r="J80" i="1" s="1"/>
  <c r="K80" i="1" s="1"/>
  <c r="K48" i="1"/>
  <c r="J48" i="1"/>
  <c r="I48" i="1"/>
  <c r="H48" i="1"/>
  <c r="G48" i="1"/>
  <c r="E48" i="1"/>
  <c r="H47" i="1"/>
  <c r="I47" i="1" s="1"/>
  <c r="J47" i="1" s="1"/>
  <c r="K47" i="1" s="1"/>
  <c r="E47" i="1"/>
  <c r="E41" i="1"/>
  <c r="F41" i="1"/>
  <c r="E42" i="1"/>
  <c r="F42" i="1"/>
  <c r="D42" i="1"/>
  <c r="D41" i="1"/>
  <c r="E39" i="1"/>
  <c r="D16" i="1"/>
  <c r="D174" i="1" s="1"/>
  <c r="E16" i="1"/>
  <c r="K16" i="1"/>
  <c r="K174" i="1" s="1"/>
  <c r="J16" i="1"/>
  <c r="J174" i="1" s="1"/>
  <c r="I16" i="1"/>
  <c r="I174" i="1" s="1"/>
  <c r="H16" i="1"/>
  <c r="H174" i="1" s="1"/>
  <c r="G16" i="1"/>
  <c r="C174" i="1"/>
  <c r="G173" i="1"/>
  <c r="F173" i="1"/>
  <c r="C173" i="1"/>
  <c r="G215" i="1"/>
  <c r="C151" i="1"/>
  <c r="C150" i="1"/>
  <c r="C134" i="1"/>
  <c r="C133" i="1"/>
  <c r="F20" i="1"/>
  <c r="F25" i="1" s="1"/>
  <c r="E20" i="1"/>
  <c r="D20" i="1"/>
  <c r="F174" i="1"/>
  <c r="H15" i="1"/>
  <c r="I15" i="1" s="1"/>
  <c r="E15" i="1"/>
  <c r="D15" i="1" s="1"/>
  <c r="D173" i="1" s="1"/>
  <c r="C2" i="1"/>
  <c r="F19" i="4" l="1"/>
  <c r="F21" i="4"/>
  <c r="F23" i="4"/>
  <c r="G71" i="1"/>
  <c r="G184" i="1"/>
  <c r="E77" i="1"/>
  <c r="D25" i="1"/>
  <c r="D29" i="1" s="1"/>
  <c r="E25" i="1"/>
  <c r="E29" i="1" s="1"/>
  <c r="E44" i="1" s="1"/>
  <c r="G74" i="1"/>
  <c r="H74" i="1" s="1"/>
  <c r="F75" i="1"/>
  <c r="H216" i="1"/>
  <c r="I115" i="1"/>
  <c r="H115" i="1"/>
  <c r="G85" i="1"/>
  <c r="F59" i="1"/>
  <c r="G137" i="1"/>
  <c r="J15" i="1"/>
  <c r="I173" i="1"/>
  <c r="I215" i="1"/>
  <c r="H215" i="1"/>
  <c r="E173" i="1"/>
  <c r="H173" i="1"/>
  <c r="I216" i="1"/>
  <c r="J216" i="1"/>
  <c r="K216" i="1"/>
  <c r="G19" i="1"/>
  <c r="D40" i="1"/>
  <c r="F40" i="1"/>
  <c r="E40" i="1"/>
  <c r="H20" i="1"/>
  <c r="H19" i="1" s="1"/>
  <c r="K28" i="1"/>
  <c r="F34" i="1"/>
  <c r="F36" i="1" s="1"/>
  <c r="F29" i="1"/>
  <c r="G174" i="1"/>
  <c r="G216" i="1"/>
  <c r="E174" i="1"/>
  <c r="H71" i="1" l="1"/>
  <c r="G51" i="1"/>
  <c r="G61" i="1"/>
  <c r="H61" i="1" s="1"/>
  <c r="E34" i="1"/>
  <c r="E36" i="1" s="1"/>
  <c r="D34" i="1"/>
  <c r="D36" i="1" s="1"/>
  <c r="K115" i="1"/>
  <c r="I20" i="1"/>
  <c r="I19" i="1" s="1"/>
  <c r="E31" i="1"/>
  <c r="E127" i="1" s="1"/>
  <c r="D31" i="1"/>
  <c r="F77" i="1"/>
  <c r="H121" i="1"/>
  <c r="H122" i="1" s="1"/>
  <c r="H88" i="1" s="1"/>
  <c r="I121" i="1"/>
  <c r="I122" i="1" s="1"/>
  <c r="I88" i="1" s="1"/>
  <c r="I74" i="1"/>
  <c r="H85" i="1"/>
  <c r="H184" i="1"/>
  <c r="K15" i="1"/>
  <c r="J173" i="1"/>
  <c r="J215" i="1"/>
  <c r="F31" i="1"/>
  <c r="F176" i="1" s="1"/>
  <c r="F178" i="1" s="1"/>
  <c r="F44" i="1"/>
  <c r="H25" i="1"/>
  <c r="G18" i="4" s="1"/>
  <c r="G19" i="4" l="1"/>
  <c r="G23" i="4"/>
  <c r="G21" i="4"/>
  <c r="I71" i="1"/>
  <c r="H51" i="1"/>
  <c r="H86" i="1" s="1"/>
  <c r="G86" i="1"/>
  <c r="G87" i="1"/>
  <c r="I61" i="1"/>
  <c r="F181" i="1"/>
  <c r="J115" i="1"/>
  <c r="J20" i="1"/>
  <c r="J19" i="1" s="1"/>
  <c r="E176" i="1"/>
  <c r="I25" i="1"/>
  <c r="H18" i="4" s="1"/>
  <c r="D127" i="1"/>
  <c r="D176" i="1"/>
  <c r="K121" i="1"/>
  <c r="K122" i="1" s="1"/>
  <c r="K88" i="1" s="1"/>
  <c r="F127" i="1"/>
  <c r="J74" i="1"/>
  <c r="K173" i="1"/>
  <c r="K215" i="1"/>
  <c r="I85" i="1"/>
  <c r="I184" i="1"/>
  <c r="H87" i="1"/>
  <c r="K20" i="1"/>
  <c r="K19" i="1" s="1"/>
  <c r="G32" i="4" l="1"/>
  <c r="F32" i="4"/>
  <c r="F33" i="4" s="1"/>
  <c r="H19" i="4"/>
  <c r="H21" i="4"/>
  <c r="H23" i="4"/>
  <c r="J71" i="1"/>
  <c r="E178" i="1"/>
  <c r="E181" i="1"/>
  <c r="I51" i="1"/>
  <c r="I86" i="1" s="1"/>
  <c r="J61" i="1"/>
  <c r="K61" i="1" s="1"/>
  <c r="J121" i="1"/>
  <c r="J122" i="1" s="1"/>
  <c r="J88" i="1" s="1"/>
  <c r="J25" i="1"/>
  <c r="I18" i="4" s="1"/>
  <c r="D181" i="1"/>
  <c r="D178" i="1"/>
  <c r="I87" i="1"/>
  <c r="J85" i="1"/>
  <c r="J184" i="1"/>
  <c r="K74" i="1"/>
  <c r="K25" i="1"/>
  <c r="J18" i="4" s="1"/>
  <c r="G33" i="4" l="1"/>
  <c r="G26" i="4"/>
  <c r="H32" i="4"/>
  <c r="H33" i="4" s="1"/>
  <c r="F26" i="4"/>
  <c r="I19" i="4"/>
  <c r="I21" i="4"/>
  <c r="I23" i="4"/>
  <c r="J19" i="4"/>
  <c r="J21" i="4"/>
  <c r="J23" i="4"/>
  <c r="K71" i="1"/>
  <c r="J51" i="1"/>
  <c r="K51" i="1" s="1"/>
  <c r="K184" i="1"/>
  <c r="K85" i="1"/>
  <c r="J87" i="1"/>
  <c r="H26" i="4" l="1"/>
  <c r="J86" i="1"/>
  <c r="I32" i="4" s="1"/>
  <c r="I33" i="4" s="1"/>
  <c r="K87" i="1"/>
  <c r="K86" i="1"/>
  <c r="J32" i="4" l="1"/>
  <c r="J33" i="4" s="1"/>
  <c r="I26" i="4"/>
  <c r="G109" i="1"/>
  <c r="J26" i="4" l="1"/>
  <c r="G110" i="1"/>
  <c r="G117" i="1"/>
  <c r="G33" i="1" s="1"/>
  <c r="G84" i="1" l="1"/>
  <c r="F25" i="4"/>
  <c r="H107" i="1"/>
  <c r="G53" i="1"/>
  <c r="G34" i="1"/>
  <c r="G36" i="1" s="1"/>
  <c r="F30" i="4" l="1"/>
  <c r="F56" i="4" s="1"/>
  <c r="F16" i="4"/>
  <c r="F17" i="4" s="1"/>
  <c r="H109" i="1"/>
  <c r="I109" i="1"/>
  <c r="I117" i="1" s="1"/>
  <c r="J109" i="1"/>
  <c r="J117" i="1" s="1"/>
  <c r="K109" i="1"/>
  <c r="K117" i="1" s="1"/>
  <c r="H110" i="1" l="1"/>
  <c r="H117" i="1"/>
  <c r="I33" i="1"/>
  <c r="H25" i="4" s="1"/>
  <c r="J33" i="1"/>
  <c r="I25" i="4" s="1"/>
  <c r="K33" i="1"/>
  <c r="J25" i="4" s="1"/>
  <c r="H30" i="4" l="1"/>
  <c r="H56" i="4" s="1"/>
  <c r="H16" i="4"/>
  <c r="H17" i="4" s="1"/>
  <c r="I30" i="4"/>
  <c r="I56" i="4" s="1"/>
  <c r="I16" i="4"/>
  <c r="I17" i="4" s="1"/>
  <c r="J30" i="4"/>
  <c r="J56" i="4" s="1"/>
  <c r="J16" i="4"/>
  <c r="I34" i="1"/>
  <c r="I36" i="1" s="1"/>
  <c r="I84" i="1"/>
  <c r="J34" i="1"/>
  <c r="J36" i="1" s="1"/>
  <c r="J84" i="1"/>
  <c r="K34" i="1"/>
  <c r="K36" i="1" s="1"/>
  <c r="K84" i="1"/>
  <c r="H53" i="1"/>
  <c r="I107" i="1"/>
  <c r="I110" i="1" s="1"/>
  <c r="H33" i="1"/>
  <c r="G25" i="4" s="1"/>
  <c r="D61" i="4" l="1"/>
  <c r="J60" i="4"/>
  <c r="J62" i="4" s="1"/>
  <c r="J17" i="4"/>
  <c r="G30" i="4"/>
  <c r="G56" i="4" s="1"/>
  <c r="G16" i="4"/>
  <c r="G17" i="4" s="1"/>
  <c r="J107" i="1"/>
  <c r="J110" i="1" s="1"/>
  <c r="I53" i="1"/>
  <c r="H34" i="1"/>
  <c r="H36" i="1" s="1"/>
  <c r="H84" i="1"/>
  <c r="K107" i="1" l="1"/>
  <c r="K110" i="1" s="1"/>
  <c r="K53" i="1" s="1"/>
  <c r="J53" i="1"/>
  <c r="G163" i="1" l="1"/>
  <c r="G64" i="1" l="1"/>
  <c r="G95" i="1" s="1"/>
  <c r="H161" i="1"/>
  <c r="H163" i="1" l="1"/>
  <c r="I161" i="1" l="1"/>
  <c r="H64" i="1"/>
  <c r="H95" i="1" s="1"/>
  <c r="I163" i="1" l="1"/>
  <c r="J161" i="1" l="1"/>
  <c r="I64" i="1"/>
  <c r="I95" i="1" s="1"/>
  <c r="J163" i="1" l="1"/>
  <c r="K161" i="1" l="1"/>
  <c r="J64" i="1"/>
  <c r="J95" i="1" s="1"/>
  <c r="K163" i="1" l="1"/>
  <c r="K64" i="1" s="1"/>
  <c r="K95" i="1" s="1"/>
  <c r="G110" i="4" l="1"/>
  <c r="F110" i="4" s="1"/>
  <c r="C154" i="4" s="1"/>
  <c r="I110" i="4"/>
  <c r="J110" i="4" s="1"/>
  <c r="I4" i="4" l="1"/>
  <c r="E47" i="4"/>
  <c r="F47" i="4"/>
  <c r="F48" i="4"/>
  <c r="E49" i="4"/>
  <c r="F49" i="4"/>
  <c r="F51" i="4"/>
  <c r="F57" i="4"/>
  <c r="G57" i="4"/>
  <c r="H57" i="4"/>
  <c r="I57" i="4"/>
  <c r="J57" i="4"/>
  <c r="D62" i="4"/>
  <c r="D63" i="4"/>
  <c r="J63" i="4"/>
  <c r="D64" i="4"/>
  <c r="J64" i="4"/>
  <c r="D65" i="4"/>
  <c r="J65" i="4"/>
  <c r="D67" i="4"/>
  <c r="J67" i="4"/>
  <c r="D68" i="4"/>
  <c r="J68" i="4"/>
  <c r="D69" i="4"/>
  <c r="J69" i="4"/>
  <c r="D85" i="4"/>
  <c r="D89" i="4"/>
  <c r="E89" i="4"/>
  <c r="D91" i="4"/>
  <c r="E91" i="4"/>
  <c r="D92" i="4"/>
  <c r="E92" i="4"/>
  <c r="D93" i="4"/>
  <c r="E93" i="4"/>
  <c r="D97" i="4"/>
  <c r="E97" i="4"/>
  <c r="D98" i="4"/>
  <c r="E98" i="4"/>
  <c r="D99" i="4"/>
  <c r="E99" i="4"/>
  <c r="D102" i="4"/>
  <c r="E102" i="4"/>
  <c r="D103" i="4"/>
  <c r="E103" i="4"/>
  <c r="D104" i="4"/>
  <c r="E104" i="4"/>
  <c r="E110" i="4"/>
  <c r="M110" i="4"/>
  <c r="E119" i="4"/>
  <c r="M119" i="4"/>
  <c r="G26" i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9" i="1"/>
  <c r="H49" i="1"/>
  <c r="I49" i="1"/>
  <c r="J49" i="1"/>
  <c r="K49" i="1"/>
  <c r="G59" i="1"/>
  <c r="H59" i="1"/>
  <c r="I59" i="1"/>
  <c r="J59" i="1"/>
  <c r="K59" i="1"/>
  <c r="G63" i="1"/>
  <c r="H63" i="1"/>
  <c r="I63" i="1"/>
  <c r="J63" i="1"/>
  <c r="K63" i="1"/>
  <c r="G68" i="1"/>
  <c r="H68" i="1"/>
  <c r="I68" i="1"/>
  <c r="J68" i="1"/>
  <c r="K68" i="1"/>
  <c r="G72" i="1"/>
  <c r="H72" i="1"/>
  <c r="I72" i="1"/>
  <c r="J72" i="1"/>
  <c r="K72" i="1"/>
  <c r="G75" i="1"/>
  <c r="H75" i="1"/>
  <c r="I75" i="1"/>
  <c r="J75" i="1"/>
  <c r="K75" i="1"/>
  <c r="G77" i="1"/>
  <c r="H77" i="1"/>
  <c r="I77" i="1"/>
  <c r="J77" i="1"/>
  <c r="K77" i="1"/>
  <c r="G83" i="1"/>
  <c r="H83" i="1"/>
  <c r="I83" i="1"/>
  <c r="J83" i="1"/>
  <c r="K83" i="1"/>
  <c r="G90" i="1"/>
  <c r="H90" i="1"/>
  <c r="I90" i="1"/>
  <c r="J90" i="1"/>
  <c r="K90" i="1"/>
  <c r="G96" i="1"/>
  <c r="H96" i="1"/>
  <c r="I96" i="1"/>
  <c r="J96" i="1"/>
  <c r="K96" i="1"/>
  <c r="G99" i="1"/>
  <c r="H99" i="1"/>
  <c r="I99" i="1"/>
  <c r="J99" i="1"/>
  <c r="K99" i="1"/>
  <c r="G101" i="1"/>
  <c r="H101" i="1"/>
  <c r="I101" i="1"/>
  <c r="J101" i="1"/>
  <c r="K101" i="1"/>
  <c r="H126" i="1"/>
  <c r="I126" i="1"/>
  <c r="J126" i="1"/>
  <c r="K126" i="1"/>
  <c r="G127" i="1"/>
  <c r="H127" i="1"/>
  <c r="I127" i="1"/>
  <c r="J127" i="1"/>
  <c r="K127" i="1"/>
  <c r="G130" i="1"/>
  <c r="H130" i="1"/>
  <c r="I130" i="1"/>
  <c r="J130" i="1"/>
  <c r="K130" i="1"/>
  <c r="H137" i="1"/>
  <c r="I137" i="1"/>
  <c r="J137" i="1"/>
  <c r="K137" i="1"/>
  <c r="G139" i="1"/>
  <c r="H139" i="1"/>
  <c r="I139" i="1"/>
  <c r="J139" i="1"/>
  <c r="K139" i="1"/>
  <c r="G140" i="1"/>
  <c r="H140" i="1"/>
  <c r="I140" i="1"/>
  <c r="J140" i="1"/>
  <c r="K140" i="1"/>
  <c r="H143" i="1"/>
  <c r="I143" i="1"/>
  <c r="J143" i="1"/>
  <c r="K143" i="1"/>
  <c r="G144" i="1"/>
  <c r="H144" i="1"/>
  <c r="I144" i="1"/>
  <c r="J144" i="1"/>
  <c r="K144" i="1"/>
  <c r="G146" i="1"/>
  <c r="H146" i="1"/>
  <c r="I146" i="1"/>
  <c r="J146" i="1"/>
  <c r="K146" i="1"/>
  <c r="G147" i="1"/>
  <c r="H147" i="1"/>
  <c r="I147" i="1"/>
  <c r="J147" i="1"/>
  <c r="K147" i="1"/>
  <c r="G153" i="1"/>
  <c r="H153" i="1"/>
  <c r="I153" i="1"/>
  <c r="J153" i="1"/>
  <c r="K153" i="1"/>
  <c r="G157" i="1"/>
  <c r="H157" i="1"/>
  <c r="I157" i="1"/>
  <c r="J157" i="1"/>
  <c r="K157" i="1"/>
  <c r="G158" i="1"/>
  <c r="H158" i="1"/>
  <c r="I158" i="1"/>
  <c r="J158" i="1"/>
  <c r="K158" i="1"/>
  <c r="G168" i="1"/>
  <c r="H168" i="1"/>
  <c r="I168" i="1"/>
  <c r="J168" i="1"/>
  <c r="K168" i="1"/>
  <c r="G170" i="1"/>
  <c r="H170" i="1"/>
  <c r="I170" i="1"/>
  <c r="J170" i="1"/>
  <c r="K170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80" i="1"/>
  <c r="H180" i="1"/>
  <c r="I180" i="1"/>
  <c r="J180" i="1"/>
  <c r="K180" i="1"/>
  <c r="G181" i="1"/>
  <c r="H181" i="1"/>
  <c r="I181" i="1"/>
  <c r="J181" i="1"/>
  <c r="K181" i="1"/>
  <c r="G186" i="1"/>
  <c r="H186" i="1"/>
  <c r="I186" i="1"/>
  <c r="J186" i="1"/>
  <c r="K186" i="1"/>
  <c r="D193" i="1"/>
  <c r="D2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Matan Feldman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4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8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6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30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3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6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4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  <comment ref="G186" authorId="1" shapeId="0" xr:uid="{77840F12-6852-48EE-91D5-5D5897474747}">
      <text>
        <r>
          <rPr>
            <sz val="9"/>
            <color indexed="81"/>
            <rFont val="Tahoma"/>
            <family val="2"/>
          </rPr>
          <t>WSP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Wall Street Prep</author>
    <author>Matan Feldman</author>
  </authors>
  <commentList>
    <comment ref="F12" authorId="0" shapeId="0" xr:uid="{22D0146F-607B-4C3C-B4C7-E058F9E3F87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H12" authorId="0" shapeId="0" xr:uid="{B55F2AD5-C4B0-425F-A87A-8D1F954A6AA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J69" authorId="1" shapeId="0" xr:uid="{D2263576-3DB6-4B52-8053-FB7244F672B2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  <comment ref="C80" authorId="2" shapeId="0" xr:uid="{F1FED443-88E2-4866-9C7F-E5B0E387FF0F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Include cash &amp; equivalents, short term and long term marketable securites and investments</t>
        </r>
      </text>
    </comment>
  </commentList>
</comments>
</file>

<file path=xl/sharedStrings.xml><?xml version="1.0" encoding="utf-8"?>
<sst xmlns="http://schemas.openxmlformats.org/spreadsheetml/2006/main" count="354" uniqueCount="249">
  <si>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</si>
  <si>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</si>
  <si>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</si>
  <si>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</si>
  <si>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</si>
  <si>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</si>
  <si>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</si>
  <si>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</si>
  <si>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</si>
  <si>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</si>
  <si>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</si>
  <si>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</si>
  <si>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Gross Profit</t>
  </si>
  <si>
    <t>Research &amp; development (enter as -)</t>
  </si>
  <si>
    <t>Selling, general &amp; administrative (enter as -)</t>
  </si>
  <si>
    <t>Operating profit (EBIT)</t>
  </si>
  <si>
    <t>Interest income</t>
  </si>
  <si>
    <t>Interest expense (enter as -)</t>
  </si>
  <si>
    <t>Other expense, net (enter as -)</t>
  </si>
  <si>
    <t>Pretax profit</t>
  </si>
  <si>
    <t>Taxes (enter expense as -)</t>
  </si>
  <si>
    <t>Net income</t>
  </si>
  <si>
    <t>Depreciation &amp; amortization</t>
  </si>
  <si>
    <t>EBITDA</t>
  </si>
  <si>
    <t>Stock based compensation</t>
  </si>
  <si>
    <t>Adjusted EBITDA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</si>
  <si>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</si>
  <si>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</si>
  <si>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</si>
  <si>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</si>
  <si>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</si>
  <si>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</si>
  <si>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</si>
  <si>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</si>
  <si>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Accounts receivable</t>
  </si>
  <si>
    <t>Inventories</t>
  </si>
  <si>
    <t>Other current assets</t>
  </si>
  <si>
    <t>Property, plant &amp; equipment</t>
  </si>
  <si>
    <t>Other non current assets</t>
  </si>
  <si>
    <t>Total assets</t>
  </si>
  <si>
    <t>Accounts payable</t>
  </si>
  <si>
    <t>Other current liabilities</t>
  </si>
  <si>
    <t>Commercial paper / revolver</t>
  </si>
  <si>
    <t>Long term debt (includes current portion)</t>
  </si>
  <si>
    <t>Other non current liabilities</t>
  </si>
  <si>
    <t>Total liabilities</t>
  </si>
  <si>
    <t>Common stock</t>
  </si>
  <si>
    <t xml:space="preserve">Retained earnings 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</si>
  <si>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</si>
  <si>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</si>
  <si>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</si>
  <si>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</si>
  <si>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</si>
  <si>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</si>
  <si>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</si>
  <si>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</si>
  <si>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</si>
  <si>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</si>
  <si>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</si>
  <si>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</si>
  <si>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</si>
  <si>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</si>
  <si>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</si>
  <si>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</si>
  <si>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</si>
  <si>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</si>
  <si>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</si>
  <si>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</si>
  <si>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</si>
  <si>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</si>
  <si>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</si>
  <si>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</si>
  <si>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</si>
  <si>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</si>
  <si>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</si>
  <si>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</si>
  <si>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Plus: Additions </t>
  </si>
  <si>
    <t>RETAINED EARNINGS</t>
  </si>
  <si>
    <t>Plus: Net income</t>
  </si>
  <si>
    <t>Less: Dividends</t>
  </si>
  <si>
    <t>Less: Repurchases</t>
  </si>
  <si>
    <t>REVOLVER (MODEL PLUG)</t>
  </si>
  <si>
    <t>Revolver needs analysis</t>
  </si>
  <si>
    <t>Cash at beginning of period (BOP)</t>
  </si>
  <si>
    <t>Less: Minimum cash balance</t>
  </si>
  <si>
    <t>Plus: Free cash flows generated during period</t>
  </si>
  <si>
    <t>Equals: Cash available (needed) to pay down (draw from) revolver</t>
  </si>
  <si>
    <t>Commercial paper / Revolver</t>
  </si>
  <si>
    <t>Draw / (paydown)</t>
  </si>
  <si>
    <t>Discretionary borrowing / (paydown)</t>
  </si>
  <si>
    <t>Debt balance:</t>
  </si>
  <si>
    <t>INTEREST EXPENSE AND INTEREST INCOME</t>
  </si>
  <si>
    <t>Commercial Paper / Revolver</t>
  </si>
  <si>
    <t>Weighted average interest rate</t>
  </si>
  <si>
    <t>End of period balance (from B/S)</t>
  </si>
  <si>
    <t>Interest expense</t>
  </si>
  <si>
    <t xml:space="preserve">Interest expense </t>
  </si>
  <si>
    <t>Interest rate on cash</t>
  </si>
  <si>
    <t>Weighted average interest rate on cash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</si>
  <si>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</si>
  <si>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</si>
  <si>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</si>
  <si>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</si>
  <si>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</si>
  <si>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</si>
  <si>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</si>
  <si>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</si>
  <si>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</si>
  <si>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</si>
  <si>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</si>
  <si>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</si>
  <si>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</si>
  <si>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</si>
  <si>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</si>
  <si>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</si>
  <si>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</si>
  <si>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</si>
  <si>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</si>
  <si>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</si>
  <si>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</si>
  <si>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</si>
  <si>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</si>
  <si>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</si>
  <si>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</si>
  <si>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</si>
  <si>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</si>
  <si>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Less: Amortization of intangible assets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</si>
  <si>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</si>
  <si>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</si>
  <si>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</si>
  <si>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</si>
  <si>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</si>
  <si>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</si>
  <si>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</si>
  <si>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>Average cash balance (from B/S)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</si>
  <si>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</si>
  <si>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</si>
  <si>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</si>
  <si>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</si>
  <si>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</si>
  <si>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</si>
  <si>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</si>
  <si>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</si>
  <si>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</si>
  <si>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</si>
  <si>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</si>
  <si>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</si>
  <si>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</si>
  <si>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</si>
  <si>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</si>
  <si>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</si>
  <si>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</si>
  <si>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</si>
  <si>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First forecast year Diluted EPS sensitivity</t>
  </si>
  <si>
    <t>Base Case</t>
  </si>
  <si>
    <t>Bit Demand Growth</t>
  </si>
  <si>
    <t>$ in millions except per share</t>
  </si>
  <si>
    <t xml:space="preserve">N/M </t>
  </si>
  <si>
    <t>Additions/ (Repayments)</t>
  </si>
  <si>
    <t>Amount outstanding - beginning</t>
  </si>
  <si>
    <t>Amount outstanding - ending</t>
  </si>
  <si>
    <t>SBC Increase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</si>
  <si>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</si>
  <si>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</si>
  <si>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</si>
  <si>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</si>
  <si>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</si>
  <si>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</si>
  <si>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</si>
  <si>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</si>
  <si>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</si>
  <si>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</si>
  <si>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</si>
  <si>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Case active:</t>
  </si>
  <si>
    <t>Unlevered Free Cash Flows</t>
  </si>
  <si>
    <t>% margin</t>
  </si>
  <si>
    <t>EBIT</t>
  </si>
  <si>
    <t>Tax on EBIT</t>
  </si>
  <si>
    <t>NOPAT (aka EBIAT)</t>
  </si>
  <si>
    <t>Changes in net working capital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</si>
  <si>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</si>
  <si>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</si>
  <si>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</si>
  <si>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</si>
  <si>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</si>
  <si>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</si>
  <si>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</si>
  <si>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</si>
  <si>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</si>
  <si>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</si>
  <si>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</si>
  <si>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</si>
  <si>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</si>
  <si>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</si>
  <si>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</si>
  <si>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</si>
  <si>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</si>
  <si>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</si>
  <si>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</si>
  <si>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</si>
  <si>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</si>
  <si>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</si>
  <si>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</si>
  <si>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</si>
  <si>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</si>
  <si>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</si>
  <si>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</si>
  <si>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</si>
  <si>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</si>
  <si>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Gross debt and equivalents</t>
  </si>
  <si>
    <t>Debt</t>
  </si>
  <si>
    <t>Convertible debt</t>
  </si>
  <si>
    <t>Preferred stock</t>
  </si>
  <si>
    <t>Noncontrolling (minority) interests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</si>
  <si>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</si>
  <si>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</si>
  <si>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</si>
  <si>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</si>
  <si>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</si>
  <si>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</si>
  <si>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</si>
  <si>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</si>
  <si>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</si>
  <si>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EV / Revenue</t>
  </si>
  <si>
    <t xml:space="preserve">EV / EBITDA </t>
  </si>
  <si>
    <t>EV / EBIT</t>
  </si>
  <si>
    <t>Year 1</t>
  </si>
  <si>
    <t>Weighted Average Cost of Capital</t>
  </si>
  <si>
    <r>
      <t>Risk free rate (R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</si>
  <si>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t>Equity Beta</t>
  </si>
  <si>
    <r>
      <t>Equity risk premium (R</t>
    </r>
    <r>
      <rPr>
        <vertAlign val="subscript"/>
        <sz val="10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- 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</si>
  <si>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r>
      <t>Cost of Equity (K</t>
    </r>
    <r>
      <rPr>
        <b/>
        <vertAlign val="subscript"/>
        <sz val="8"/>
        <rFont val="Aptos Narrow"/>
        <family val="2"/>
        <scheme val="minor"/>
      </rPr>
      <t>e</t>
    </r>
    <r>
      <rPr>
        <b/>
        <sz val="10"/>
        <rFont val="Aptos Narrow"/>
        <family val="2"/>
        <scheme val="minor"/>
      </rPr>
      <t>)</t>
    </r>
  </si>
  <si>
    <t>Cost of debt</t>
  </si>
  <si>
    <r>
      <t>After-tax Cost of Debt (K</t>
    </r>
    <r>
      <rPr>
        <b/>
        <vertAlign val="subscript"/>
        <sz val="8"/>
        <rFont val="Aptos Narrow"/>
        <family val="2"/>
        <scheme val="minor"/>
      </rPr>
      <t>dt</t>
    </r>
    <r>
      <rPr>
        <b/>
        <sz val="10"/>
        <rFont val="Aptos Narrow"/>
        <family val="2"/>
        <scheme val="minor"/>
      </rPr>
      <t>)</t>
    </r>
  </si>
  <si>
    <t>Percentage of Capital</t>
  </si>
  <si>
    <t>Equity</t>
  </si>
  <si>
    <t>Total capital</t>
  </si>
  <si>
    <t>Micron Q2 2026 10-Q</t>
  </si>
  <si>
    <t>Last Twelve Months (LTM)</t>
  </si>
  <si>
    <t>Sensitivity Analysis</t>
  </si>
  <si>
    <t>WACC</t>
  </si>
  <si>
    <t>Exit EBITDA Multiple</t>
  </si>
  <si>
    <t>Long Term Growth Rate</t>
  </si>
  <si>
    <t>Equity Value Per Share</t>
  </si>
  <si>
    <t>Year 1 EBITDA Multiple</t>
  </si>
  <si>
    <t>Low</t>
  </si>
  <si>
    <t>Diff.</t>
  </si>
  <si>
    <t>High</t>
  </si>
  <si>
    <t>52 Week Market High/Low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</si>
</sst>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#,##0.00_);\(#,##0.00\);@_)"/>
    <numFmt numFmtId="241" formatCode="0\P;[Red]0\P"/>
    <numFmt numFmtId="242" formatCode="#,##0_);\(#,##0\);&quot;-&quot;_)"/>
    <numFmt numFmtId="243" formatCode="0000\A"/>
    <numFmt numFmtId="244" formatCode="0000\P"/>
    <numFmt numFmtId="245" formatCode="0.0\x_);\(0.0\x\);@_)"/>
    <numFmt numFmtId="246" formatCode="0.000%_);\(0.000%\);@_)"/>
    <numFmt numFmtId="247" formatCode="#,##0.000_);\(#,##0.000\);@_)"/>
    <numFmt numFmtId="248" formatCode="&quot;$&quot;#,##0.00_);\(&quot;$&quot;#,##0.00\);@_)"/>
    <numFmt numFmtId="249" formatCode="_(0.0\x_)_';_(\(0.0\x\)_';_(&quot;–&quot;_)_%;_(@_)_%"/>
    <numFmt numFmtId="250" formatCode="_(0.0_)_'_x;_(\(0.0\)_';_(&quot;–&quot;_)_%;_(@_)_%"/>
    <numFmt numFmtId="251" formatCode="_(* #,##0_);_(* \(#,##0\);_(* &quot;-&quot;??_);_(@_)"/>
  </numFmts>
  <fonts count="10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vertAlign val="sub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vertAlign val="subscript"/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14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37" fontId="12" fillId="0" borderId="0"/>
    <xf numFmtId="0" fontId="91" fillId="0" borderId="0" applyNumberFormat="0" applyFill="0" applyBorder="0" applyAlignment="0" applyProtection="0"/>
  </cellStyleXfs>
  <cellXfs count="261">
    <xf numFmtId="0" fontId="0" fillId="0" borderId="0" xfId="0"/>
    <xf numFmtId="0" fontId="0" fillId="36" borderId="0" xfId="0" applyFill="1"/>
    <xf numFmtId="0" fontId="1" fillId="36" borderId="19" xfId="0" applyFont="1" applyFill="1" applyBorder="1"/>
    <xf numFmtId="0" fontId="0" fillId="36" borderId="19" xfId="0" applyFill="1" applyBorder="1"/>
    <xf numFmtId="14" fontId="63" fillId="36" borderId="0" xfId="0" applyNumberFormat="1" applyFont="1" applyFill="1" applyAlignment="1">
      <alignment horizontal="left"/>
    </xf>
    <xf numFmtId="0" fontId="0" fillId="36" borderId="24" xfId="0" applyFill="1" applyBorder="1"/>
    <xf numFmtId="0" fontId="3" fillId="36" borderId="0" xfId="0" applyFont="1" applyFill="1"/>
    <xf numFmtId="0" fontId="2" fillId="36" borderId="0" xfId="0" applyFont="1" applyFill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14" fontId="2" fillId="36" borderId="0" xfId="0" applyNumberFormat="1" applyFont="1" applyFill="1" applyAlignment="1">
      <alignment horizontal="center"/>
    </xf>
    <xf numFmtId="8" fontId="2" fillId="36" borderId="0" xfId="0" applyNumberFormat="1" applyFont="1" applyFill="1" applyAlignment="1">
      <alignment horizontal="center"/>
    </xf>
    <xf numFmtId="223" fontId="2" fillId="36" borderId="0" xfId="0" applyNumberFormat="1" applyFont="1" applyFill="1" applyAlignment="1">
      <alignment horizontal="center"/>
    </xf>
    <xf numFmtId="9" fontId="0" fillId="36" borderId="0" xfId="0" applyNumberFormat="1" applyFill="1"/>
    <xf numFmtId="201" fontId="2" fillId="36" borderId="0" xfId="0" applyNumberFormat="1" applyFont="1" applyFill="1" applyAlignment="1">
      <alignment horizontal="center"/>
    </xf>
    <xf numFmtId="0" fontId="1" fillId="36" borderId="1" xfId="0" applyFont="1" applyFill="1" applyBorder="1"/>
    <xf numFmtId="0" fontId="0" fillId="36" borderId="1" xfId="0" applyFill="1" applyBorder="1"/>
    <xf numFmtId="221" fontId="1" fillId="36" borderId="0" xfId="0" applyNumberFormat="1" applyFont="1" applyFill="1"/>
    <xf numFmtId="222" fontId="1" fillId="36" borderId="0" xfId="0" applyNumberFormat="1" applyFont="1" applyFill="1"/>
    <xf numFmtId="0" fontId="65" fillId="36" borderId="1" xfId="0" applyFont="1" applyFill="1" applyBorder="1"/>
    <xf numFmtId="223" fontId="65" fillId="36" borderId="5" xfId="0" applyNumberFormat="1" applyFont="1" applyFill="1" applyBorder="1"/>
    <xf numFmtId="0" fontId="65" fillId="36" borderId="0" xfId="0" applyFont="1" applyFill="1"/>
    <xf numFmtId="223" fontId="66" fillId="36" borderId="0" xfId="0" applyNumberFormat="1" applyFont="1" applyFill="1"/>
    <xf numFmtId="223" fontId="65" fillId="36" borderId="0" xfId="0" applyNumberFormat="1" applyFont="1" applyFill="1"/>
    <xf numFmtId="9" fontId="65" fillId="36" borderId="0" xfId="0" applyNumberFormat="1" applyFont="1" applyFill="1"/>
    <xf numFmtId="194" fontId="65" fillId="36" borderId="0" xfId="0" applyNumberFormat="1" applyFont="1" applyFill="1"/>
    <xf numFmtId="37" fontId="2" fillId="36" borderId="0" xfId="0" applyNumberFormat="1" applyFont="1" applyFill="1"/>
    <xf numFmtId="37" fontId="3" fillId="36" borderId="0" xfId="0" applyNumberFormat="1" applyFont="1" applyFill="1"/>
    <xf numFmtId="0" fontId="1" fillId="36" borderId="0" xfId="0" applyFont="1" applyFill="1"/>
    <xf numFmtId="37" fontId="61" fillId="36" borderId="0" xfId="0" applyNumberFormat="1" applyFont="1" applyFill="1"/>
    <xf numFmtId="0" fontId="0" fillId="36" borderId="0" xfId="0" applyFill="1" applyAlignment="1">
      <alignment horizontal="left" indent="1"/>
    </xf>
    <xf numFmtId="37" fontId="0" fillId="36" borderId="0" xfId="0" applyNumberFormat="1" applyFill="1"/>
    <xf numFmtId="0" fontId="0" fillId="36" borderId="0" xfId="0" applyFill="1" applyAlignment="1">
      <alignment horizontal="left"/>
    </xf>
    <xf numFmtId="0" fontId="1" fillId="36" borderId="0" xfId="0" applyFont="1" applyFill="1" applyAlignment="1">
      <alignment horizontal="left"/>
    </xf>
    <xf numFmtId="0" fontId="67" fillId="36" borderId="0" xfId="0" applyFont="1" applyFill="1"/>
    <xf numFmtId="164" fontId="3" fillId="36" borderId="0" xfId="0" applyNumberFormat="1" applyFont="1" applyFill="1"/>
    <xf numFmtId="194" fontId="2" fillId="36" borderId="0" xfId="0" applyNumberFormat="1" applyFont="1" applyFill="1"/>
    <xf numFmtId="164" fontId="2" fillId="36" borderId="0" xfId="0" applyNumberFormat="1" applyFont="1" applyFill="1"/>
    <xf numFmtId="37" fontId="2" fillId="36" borderId="0" xfId="0" applyNumberFormat="1" applyFont="1" applyFill="1" applyAlignment="1">
      <alignment horizontal="right"/>
    </xf>
    <xf numFmtId="4" fontId="0" fillId="36" borderId="0" xfId="0" applyNumberFormat="1" applyFill="1"/>
    <xf numFmtId="223" fontId="65" fillId="36" borderId="1" xfId="0" applyNumberFormat="1" applyFont="1" applyFill="1" applyBorder="1"/>
    <xf numFmtId="14" fontId="65" fillId="36" borderId="0" xfId="0" applyNumberFormat="1" applyFont="1" applyFill="1"/>
    <xf numFmtId="221" fontId="61" fillId="36" borderId="0" xfId="0" applyNumberFormat="1" applyFont="1" applyFill="1"/>
    <xf numFmtId="222" fontId="61" fillId="36" borderId="0" xfId="0" applyNumberFormat="1" applyFont="1" applyFill="1"/>
    <xf numFmtId="223" fontId="63" fillId="36" borderId="1" xfId="0" applyNumberFormat="1" applyFont="1" applyFill="1" applyBorder="1"/>
    <xf numFmtId="37" fontId="1" fillId="36" borderId="0" xfId="0" applyNumberFormat="1" applyFont="1" applyFill="1"/>
    <xf numFmtId="37" fontId="1" fillId="36" borderId="0" xfId="0" quotePrefix="1" applyNumberFormat="1" applyFont="1" applyFill="1"/>
    <xf numFmtId="37" fontId="65" fillId="36" borderId="0" xfId="0" applyNumberFormat="1" applyFont="1" applyFill="1"/>
    <xf numFmtId="3" fontId="0" fillId="36" borderId="0" xfId="0" applyNumberFormat="1" applyFill="1"/>
    <xf numFmtId="0" fontId="1" fillId="36" borderId="32" xfId="0" applyFont="1" applyFill="1" applyBorder="1" applyAlignment="1">
      <alignment horizontal="centerContinuous"/>
    </xf>
    <xf numFmtId="0" fontId="0" fillId="36" borderId="0" xfId="0" quotePrefix="1" applyFill="1" applyAlignment="1">
      <alignment horizontal="left" indent="1"/>
    </xf>
    <xf numFmtId="0" fontId="0" fillId="36" borderId="29" xfId="0" quotePrefix="1" applyFill="1" applyBorder="1" applyAlignment="1">
      <alignment horizontal="left" indent="1"/>
    </xf>
    <xf numFmtId="37" fontId="2" fillId="36" borderId="29" xfId="0" applyNumberFormat="1" applyFont="1" applyFill="1" applyBorder="1"/>
    <xf numFmtId="37" fontId="0" fillId="36" borderId="29" xfId="0" applyNumberFormat="1" applyFill="1" applyBorder="1"/>
    <xf numFmtId="0" fontId="1" fillId="36" borderId="0" xfId="0" applyFont="1" applyFill="1" applyAlignment="1">
      <alignment horizontal="left" indent="1"/>
    </xf>
    <xf numFmtId="164" fontId="0" fillId="36" borderId="0" xfId="0" applyNumberFormat="1" applyFill="1"/>
    <xf numFmtId="234" fontId="2" fillId="36" borderId="0" xfId="0" applyNumberFormat="1" applyFont="1" applyFill="1"/>
    <xf numFmtId="235" fontId="0" fillId="36" borderId="0" xfId="0" applyNumberFormat="1" applyFill="1"/>
    <xf numFmtId="0" fontId="1" fillId="36" borderId="1" xfId="0" applyFont="1" applyFill="1" applyBorder="1" applyAlignment="1">
      <alignment horizontal="left"/>
    </xf>
    <xf numFmtId="164" fontId="0" fillId="36" borderId="1" xfId="0" applyNumberFormat="1" applyFill="1" applyBorder="1"/>
    <xf numFmtId="164" fontId="3" fillId="36" borderId="1" xfId="0" applyNumberFormat="1" applyFont="1" applyFill="1" applyBorder="1"/>
    <xf numFmtId="234" fontId="0" fillId="36" borderId="0" xfId="0" applyNumberFormat="1" applyFill="1"/>
    <xf numFmtId="238" fontId="2" fillId="36" borderId="0" xfId="0" applyNumberFormat="1" applyFont="1" applyFill="1"/>
    <xf numFmtId="37" fontId="1" fillId="36" borderId="1" xfId="0" applyNumberFormat="1" applyFont="1" applyFill="1" applyBorder="1"/>
    <xf numFmtId="37" fontId="3" fillId="36" borderId="32" xfId="0" applyNumberFormat="1" applyFont="1" applyFill="1" applyBorder="1"/>
    <xf numFmtId="0" fontId="0" fillId="36" borderId="29" xfId="0" applyFill="1" applyBorder="1" applyAlignment="1">
      <alignment horizontal="left" indent="1"/>
    </xf>
    <xf numFmtId="0" fontId="0" fillId="36" borderId="29" xfId="0" applyFill="1" applyBorder="1"/>
    <xf numFmtId="37" fontId="3" fillId="36" borderId="29" xfId="0" applyNumberFormat="1" applyFont="1" applyFill="1" applyBorder="1"/>
    <xf numFmtId="37" fontId="1" fillId="36" borderId="1" xfId="0" applyNumberFormat="1" applyFont="1" applyFill="1" applyBorder="1" applyAlignment="1">
      <alignment horizontal="left"/>
    </xf>
    <xf numFmtId="37" fontId="1" fillId="36" borderId="29" xfId="0" applyNumberFormat="1" applyFont="1" applyFill="1" applyBorder="1"/>
    <xf numFmtId="0" fontId="86" fillId="36" borderId="35" xfId="0" applyFont="1" applyFill="1" applyBorder="1" applyAlignment="1">
      <alignment horizontal="left" indent="2"/>
    </xf>
    <xf numFmtId="37" fontId="0" fillId="36" borderId="36" xfId="0" applyNumberFormat="1" applyFill="1" applyBorder="1"/>
    <xf numFmtId="0" fontId="0" fillId="36" borderId="36" xfId="0" applyFill="1" applyBorder="1"/>
    <xf numFmtId="37" fontId="85" fillId="36" borderId="36" xfId="0" applyNumberFormat="1" applyFont="1" applyFill="1" applyBorder="1" applyAlignment="1">
      <alignment horizontal="right"/>
    </xf>
    <xf numFmtId="37" fontId="85" fillId="36" borderId="37" xfId="0" applyNumberFormat="1" applyFont="1" applyFill="1" applyBorder="1" applyAlignment="1">
      <alignment horizontal="right"/>
    </xf>
    <xf numFmtId="0" fontId="86" fillId="36" borderId="0" xfId="0" applyFont="1" applyFill="1" applyAlignment="1">
      <alignment horizontal="center"/>
    </xf>
    <xf numFmtId="37" fontId="85" fillId="36" borderId="0" xfId="0" applyNumberFormat="1" applyFont="1" applyFill="1" applyAlignment="1">
      <alignment horizontal="right"/>
    </xf>
    <xf numFmtId="9" fontId="2" fillId="36" borderId="1" xfId="0" applyNumberFormat="1" applyFont="1" applyFill="1" applyBorder="1"/>
    <xf numFmtId="3" fontId="84" fillId="36" borderId="0" xfId="0" applyNumberFormat="1" applyFont="1" applyFill="1"/>
    <xf numFmtId="37" fontId="0" fillId="36" borderId="32" xfId="0" applyNumberFormat="1" applyFill="1" applyBorder="1"/>
    <xf numFmtId="0" fontId="67" fillId="36" borderId="0" xfId="0" applyFont="1" applyFill="1" applyAlignment="1">
      <alignment horizontal="left" indent="1"/>
    </xf>
    <xf numFmtId="0" fontId="83" fillId="36" borderId="0" xfId="0" applyFont="1" applyFill="1" applyAlignment="1">
      <alignment horizontal="left"/>
    </xf>
    <xf numFmtId="225" fontId="2" fillId="36" borderId="0" xfId="0" applyNumberFormat="1" applyFont="1" applyFill="1"/>
    <xf numFmtId="0" fontId="61" fillId="36" borderId="33" xfId="0" applyFont="1" applyFill="1" applyBorder="1" applyAlignment="1">
      <alignment horizontal="left" indent="1"/>
    </xf>
    <xf numFmtId="0" fontId="0" fillId="36" borderId="0" xfId="0" applyFill="1" applyAlignment="1">
      <alignment horizontal="left" indent="2"/>
    </xf>
    <xf numFmtId="10" fontId="2" fillId="36" borderId="0" xfId="0" applyNumberFormat="1" applyFont="1" applyFill="1"/>
    <xf numFmtId="7" fontId="61" fillId="36" borderId="0" xfId="0" applyNumberFormat="1" applyFont="1" applyFill="1"/>
    <xf numFmtId="8" fontId="0" fillId="36" borderId="0" xfId="0" applyNumberFormat="1" applyFill="1"/>
    <xf numFmtId="7" fontId="0" fillId="36" borderId="0" xfId="0" applyNumberFormat="1" applyFill="1"/>
    <xf numFmtId="239" fontId="0" fillId="36" borderId="0" xfId="0" applyNumberFormat="1" applyFill="1"/>
    <xf numFmtId="7" fontId="2" fillId="36" borderId="0" xfId="0" applyNumberFormat="1" applyFont="1" applyFill="1"/>
    <xf numFmtId="9" fontId="2" fillId="36" borderId="0" xfId="0" applyNumberFormat="1" applyFont="1" applyFill="1"/>
    <xf numFmtId="37" fontId="3" fillId="36" borderId="0" xfId="0" applyNumberFormat="1" applyFont="1" applyFill="1" applyAlignment="1">
      <alignment horizontal="left" indent="1"/>
    </xf>
    <xf numFmtId="222" fontId="1" fillId="36" borderId="20" xfId="0" applyNumberFormat="1" applyFont="1" applyFill="1" applyBorder="1"/>
    <xf numFmtId="0" fontId="0" fillId="36" borderId="20" xfId="0" applyFill="1" applyBorder="1"/>
    <xf numFmtId="0" fontId="1" fillId="36" borderId="0" xfId="0" applyFont="1" applyFill="1" applyAlignment="1">
      <alignment horizontal="centerContinuous"/>
    </xf>
    <xf numFmtId="0" fontId="0" fillId="36" borderId="0" xfId="0" applyFill="1" applyAlignment="1">
      <alignment horizontal="centerContinuous"/>
    </xf>
    <xf numFmtId="5" fontId="3" fillId="36" borderId="26" xfId="0" applyNumberFormat="1" applyFont="1" applyFill="1" applyBorder="1"/>
    <xf numFmtId="236" fontId="2" fillId="36" borderId="27" xfId="0" applyNumberFormat="1" applyFont="1" applyFill="1" applyBorder="1"/>
    <xf numFmtId="0" fontId="0" fillId="36" borderId="0" xfId="0" applyFill="1" applyAlignment="1">
      <alignment horizontal="right"/>
    </xf>
    <xf numFmtId="237" fontId="2" fillId="36" borderId="28" xfId="0" applyNumberFormat="1" applyFont="1" applyFill="1" applyBorder="1"/>
    <xf numFmtId="224" fontId="0" fillId="36" borderId="0" xfId="0" applyNumberFormat="1" applyFill="1"/>
    <xf numFmtId="0" fontId="1" fillId="36" borderId="0" xfId="0" applyFont="1" applyFill="1" applyAlignment="1">
      <alignment horizontal="right"/>
    </xf>
    <xf numFmtId="237" fontId="2" fillId="36" borderId="0" xfId="0" applyNumberFormat="1" applyFont="1" applyFill="1"/>
    <xf numFmtId="224" fontId="1" fillId="36" borderId="0" xfId="0" applyNumberFormat="1" applyFont="1" applyFill="1" applyAlignment="1">
      <alignment horizontal="centerContinuous"/>
    </xf>
    <xf numFmtId="224" fontId="0" fillId="36" borderId="0" xfId="0" applyNumberFormat="1" applyFill="1" applyAlignment="1">
      <alignment horizontal="centerContinuous"/>
    </xf>
    <xf numFmtId="7" fontId="3" fillId="36" borderId="26" xfId="210" applyNumberFormat="1" applyFont="1" applyFill="1" applyBorder="1"/>
    <xf numFmtId="240" fontId="0" fillId="36" borderId="0" xfId="0" applyNumberFormat="1" applyFill="1"/>
    <xf numFmtId="201" fontId="1" fillId="36" borderId="40" xfId="0" applyNumberFormat="1" applyFont="1" applyFill="1" applyBorder="1"/>
    <xf numFmtId="201" fontId="1" fillId="36" borderId="0" xfId="0" applyNumberFormat="1" applyFont="1" applyFill="1"/>
    <xf numFmtId="164" fontId="0" fillId="36" borderId="38" xfId="0" applyNumberFormat="1" applyFill="1" applyBorder="1" applyAlignment="1">
      <alignment horizontal="center"/>
    </xf>
    <xf numFmtId="234" fontId="63" fillId="36" borderId="0" xfId="0" applyNumberFormat="1" applyFont="1" applyFill="1"/>
    <xf numFmtId="0" fontId="0" fillId="36" borderId="38" xfId="0" applyFill="1" applyBorder="1"/>
    <xf numFmtId="9" fontId="0" fillId="36" borderId="38" xfId="0" applyNumberFormat="1" applyFill="1" applyBorder="1"/>
    <xf numFmtId="10" fontId="2" fillId="36" borderId="38" xfId="209" applyNumberFormat="1" applyFont="1" applyFill="1" applyBorder="1" applyAlignment="1">
      <alignment horizontal="center"/>
    </xf>
    <xf numFmtId="0" fontId="0" fillId="36" borderId="38" xfId="0" applyFill="1" applyBorder="1" applyAlignment="1">
      <alignment horizontal="center"/>
    </xf>
    <xf numFmtId="224" fontId="90" fillId="36" borderId="0" xfId="0" applyNumberFormat="1" applyFont="1" applyFill="1"/>
    <xf numFmtId="234" fontId="2" fillId="36" borderId="38" xfId="0" applyNumberFormat="1" applyFont="1" applyFill="1" applyBorder="1" applyAlignment="1">
      <alignment horizontal="center"/>
    </xf>
    <xf numFmtId="226" fontId="0" fillId="36" borderId="0" xfId="0" applyNumberFormat="1" applyFill="1"/>
    <xf numFmtId="234" fontId="2" fillId="36" borderId="39" xfId="0" applyNumberFormat="1" applyFont="1" applyFill="1" applyBorder="1" applyAlignment="1">
      <alignment horizontal="center"/>
    </xf>
    <xf numFmtId="222" fontId="61" fillId="36" borderId="47" xfId="0" applyNumberFormat="1" applyFont="1" applyFill="1" applyBorder="1" applyAlignment="1">
      <alignment horizontal="center"/>
    </xf>
    <xf numFmtId="222" fontId="61" fillId="36" borderId="48" xfId="0" applyNumberFormat="1" applyFont="1" applyFill="1" applyBorder="1" applyAlignment="1">
      <alignment horizontal="center"/>
    </xf>
    <xf numFmtId="0" fontId="0" fillId="36" borderId="49" xfId="0" applyFill="1" applyBorder="1"/>
    <xf numFmtId="37" fontId="0" fillId="36" borderId="49" xfId="0" applyNumberFormat="1" applyFill="1" applyBorder="1"/>
    <xf numFmtId="234" fontId="0" fillId="36" borderId="49" xfId="0" applyNumberFormat="1" applyFill="1" applyBorder="1"/>
    <xf numFmtId="10" fontId="0" fillId="36" borderId="49" xfId="209" applyNumberFormat="1" applyFont="1" applyFill="1" applyBorder="1"/>
    <xf numFmtId="0" fontId="67" fillId="36" borderId="0" xfId="0" applyFont="1" applyFill="1" applyAlignment="1">
      <alignment horizontal="center"/>
    </xf>
    <xf numFmtId="242" fontId="3" fillId="36" borderId="0" xfId="0" applyNumberFormat="1" applyFont="1" applyFill="1"/>
    <xf numFmtId="0" fontId="64" fillId="36" borderId="1" xfId="0" applyFont="1" applyFill="1" applyBorder="1"/>
    <xf numFmtId="241" fontId="61" fillId="36" borderId="0" xfId="0" applyNumberFormat="1" applyFont="1" applyFill="1"/>
    <xf numFmtId="223" fontId="63" fillId="36" borderId="0" xfId="0" applyNumberFormat="1" applyFont="1" applyFill="1"/>
    <xf numFmtId="0" fontId="61" fillId="36" borderId="41" xfId="0" applyFont="1" applyFill="1" applyBorder="1"/>
    <xf numFmtId="0" fontId="3" fillId="36" borderId="41" xfId="0" applyFont="1" applyFill="1" applyBorder="1"/>
    <xf numFmtId="0" fontId="87" fillId="36" borderId="0" xfId="0" applyFont="1" applyFill="1"/>
    <xf numFmtId="221" fontId="61" fillId="36" borderId="42" xfId="0" applyNumberFormat="1" applyFont="1" applyFill="1" applyBorder="1"/>
    <xf numFmtId="37" fontId="3" fillId="36" borderId="30" xfId="0" applyNumberFormat="1" applyFont="1" applyFill="1" applyBorder="1"/>
    <xf numFmtId="37" fontId="3" fillId="36" borderId="23" xfId="0" applyNumberFormat="1" applyFont="1" applyFill="1" applyBorder="1"/>
    <xf numFmtId="6" fontId="0" fillId="36" borderId="0" xfId="0" applyNumberFormat="1" applyFill="1"/>
    <xf numFmtId="37" fontId="2" fillId="36" borderId="23" xfId="0" applyNumberFormat="1" applyFont="1" applyFill="1" applyBorder="1"/>
    <xf numFmtId="164" fontId="0" fillId="36" borderId="23" xfId="0" applyNumberFormat="1" applyFill="1" applyBorder="1"/>
    <xf numFmtId="0" fontId="1" fillId="36" borderId="29" xfId="0" applyFont="1" applyFill="1" applyBorder="1"/>
    <xf numFmtId="0" fontId="0" fillId="36" borderId="34" xfId="0" applyFill="1" applyBorder="1"/>
    <xf numFmtId="0" fontId="0" fillId="36" borderId="23" xfId="0" applyFill="1" applyBorder="1"/>
    <xf numFmtId="9" fontId="2" fillId="36" borderId="0" xfId="209" applyFont="1" applyFill="1"/>
    <xf numFmtId="9" fontId="2" fillId="36" borderId="44" xfId="209" applyFont="1" applyFill="1" applyBorder="1"/>
    <xf numFmtId="9" fontId="2" fillId="36" borderId="46" xfId="209" applyFont="1" applyFill="1" applyBorder="1"/>
    <xf numFmtId="165" fontId="3" fillId="36" borderId="0" xfId="0" applyNumberFormat="1" applyFont="1" applyFill="1"/>
    <xf numFmtId="165" fontId="3" fillId="36" borderId="33" xfId="0" applyNumberFormat="1" applyFont="1" applyFill="1" applyBorder="1"/>
    <xf numFmtId="9" fontId="2" fillId="36" borderId="43" xfId="209" applyFont="1" applyFill="1" applyBorder="1"/>
    <xf numFmtId="9" fontId="2" fillId="36" borderId="45" xfId="209" applyFont="1" applyFill="1" applyBorder="1"/>
    <xf numFmtId="165" fontId="2" fillId="36" borderId="30" xfId="0" applyNumberFormat="1" applyFont="1" applyFill="1" applyBorder="1"/>
    <xf numFmtId="165" fontId="2" fillId="36" borderId="0" xfId="0" applyNumberFormat="1" applyFont="1" applyFill="1"/>
    <xf numFmtId="165" fontId="2" fillId="36" borderId="23" xfId="0" applyNumberFormat="1" applyFont="1" applyFill="1" applyBorder="1"/>
    <xf numFmtId="0" fontId="0" fillId="36" borderId="31" xfId="0" applyFill="1" applyBorder="1"/>
    <xf numFmtId="3" fontId="2" fillId="36" borderId="0" xfId="0" applyNumberFormat="1" applyFont="1" applyFill="1"/>
    <xf numFmtId="9" fontId="3" fillId="36" borderId="30" xfId="209" applyFont="1" applyFill="1" applyBorder="1"/>
    <xf numFmtId="9" fontId="3" fillId="36" borderId="0" xfId="209" applyFont="1" applyFill="1"/>
    <xf numFmtId="9" fontId="3" fillId="36" borderId="23" xfId="209" applyFont="1" applyFill="1" applyBorder="1"/>
    <xf numFmtId="164" fontId="3" fillId="36" borderId="30" xfId="0" applyNumberFormat="1" applyFont="1" applyFill="1" applyBorder="1"/>
    <xf numFmtId="164" fontId="3" fillId="36" borderId="23" xfId="0" applyNumberFormat="1" applyFont="1" applyFill="1" applyBorder="1"/>
    <xf numFmtId="14" fontId="2" fillId="36" borderId="0" xfId="212" applyNumberFormat="1" applyFont="1" applyFill="1" applyAlignment="1">
      <alignment horizontal="right"/>
    </xf>
    <xf numFmtId="164" fontId="90" fillId="36" borderId="0" xfId="0" applyNumberFormat="1" applyFont="1" applyFill="1"/>
    <xf numFmtId="14" fontId="3" fillId="36" borderId="0" xfId="212" applyNumberFormat="1" applyFont="1" applyFill="1" applyAlignment="1">
      <alignment horizontal="right"/>
    </xf>
    <xf numFmtId="14" fontId="2" fillId="36" borderId="0" xfId="0" applyNumberFormat="1" applyFont="1" applyFill="1" applyAlignment="1">
      <alignment horizontal="right"/>
    </xf>
    <xf numFmtId="234" fontId="3" fillId="36" borderId="0" xfId="0" applyNumberFormat="1" applyFont="1" applyFill="1"/>
    <xf numFmtId="7" fontId="90" fillId="36" borderId="0" xfId="0" applyNumberFormat="1" applyFont="1" applyFill="1" applyAlignment="1">
      <alignment horizontal="right"/>
    </xf>
    <xf numFmtId="7" fontId="90" fillId="36" borderId="29" xfId="0" applyNumberFormat="1" applyFont="1" applyFill="1" applyBorder="1" applyAlignment="1">
      <alignment horizontal="right"/>
    </xf>
    <xf numFmtId="14" fontId="0" fillId="36" borderId="0" xfId="0" applyNumberFormat="1" applyFill="1" applyAlignment="1">
      <alignment horizontal="center"/>
    </xf>
    <xf numFmtId="224" fontId="3" fillId="36" borderId="0" xfId="0" applyNumberFormat="1" applyFont="1" applyFill="1"/>
    <xf numFmtId="224" fontId="61" fillId="36" borderId="0" xfId="0" applyNumberFormat="1" applyFont="1" applyFill="1"/>
    <xf numFmtId="224" fontId="90" fillId="36" borderId="29" xfId="0" applyNumberFormat="1" applyFont="1" applyFill="1" applyBorder="1"/>
    <xf numFmtId="224" fontId="93" fillId="36" borderId="29" xfId="0" applyNumberFormat="1" applyFont="1" applyFill="1" applyBorder="1" applyAlignment="1">
      <alignment horizontal="center"/>
    </xf>
    <xf numFmtId="14" fontId="0" fillId="36" borderId="0" xfId="0" applyNumberFormat="1" applyFill="1"/>
    <xf numFmtId="234" fontId="0" fillId="36" borderId="0" xfId="0" applyNumberFormat="1" applyFill="1" applyAlignment="1">
      <alignment horizontal="center"/>
    </xf>
    <xf numFmtId="224" fontId="3" fillId="36" borderId="29" xfId="0" applyNumberFormat="1" applyFont="1" applyFill="1" applyBorder="1"/>
    <xf numFmtId="0" fontId="61" fillId="36" borderId="0" xfId="0" applyFont="1" applyFill="1"/>
    <xf numFmtId="244" fontId="0" fillId="36" borderId="0" xfId="0" applyNumberFormat="1" applyFill="1"/>
    <xf numFmtId="245" fontId="2" fillId="36" borderId="0" xfId="0" applyNumberFormat="1" applyFont="1" applyFill="1"/>
    <xf numFmtId="224" fontId="1" fillId="36" borderId="0" xfId="0" applyNumberFormat="1" applyFont="1" applyFill="1"/>
    <xf numFmtId="0" fontId="65" fillId="36" borderId="0" xfId="0" applyFont="1" applyFill="1" applyAlignment="1">
      <alignment horizontal="left"/>
    </xf>
    <xf numFmtId="234" fontId="65" fillId="36" borderId="0" xfId="0" applyNumberFormat="1" applyFont="1" applyFill="1"/>
    <xf numFmtId="246" fontId="65" fillId="36" borderId="0" xfId="0" applyNumberFormat="1" applyFont="1" applyFill="1"/>
    <xf numFmtId="245" fontId="65" fillId="36" borderId="0" xfId="0" applyNumberFormat="1" applyFont="1" applyFill="1"/>
    <xf numFmtId="164" fontId="0" fillId="36" borderId="0" xfId="0" quotePrefix="1" applyNumberFormat="1" applyFill="1"/>
    <xf numFmtId="0" fontId="67" fillId="36" borderId="0" xfId="0" applyFont="1" applyFill="1" applyAlignment="1">
      <alignment horizontal="left" vertical="center"/>
    </xf>
    <xf numFmtId="14" fontId="3" fillId="36" borderId="0" xfId="0" applyNumberFormat="1" applyFont="1" applyFill="1"/>
    <xf numFmtId="0" fontId="3" fillId="36" borderId="0" xfId="0" applyFont="1" applyFill="1" applyAlignment="1">
      <alignment horizontal="left" indent="1"/>
    </xf>
    <xf numFmtId="0" fontId="0" fillId="36" borderId="0" xfId="0" applyFill="1" applyAlignment="1">
      <alignment horizontal="left" vertical="center" indent="1"/>
    </xf>
    <xf numFmtId="0" fontId="1" fillId="36" borderId="0" xfId="0" applyFont="1" applyFill="1" applyAlignment="1">
      <alignment vertical="center"/>
    </xf>
    <xf numFmtId="37" fontId="65" fillId="36" borderId="29" xfId="0" applyNumberFormat="1" applyFont="1" applyFill="1" applyBorder="1" applyAlignment="1">
      <alignment horizontal="right"/>
    </xf>
    <xf numFmtId="250" fontId="0" fillId="36" borderId="0" xfId="0" applyNumberFormat="1" applyFill="1" applyAlignment="1">
      <alignment horizontal="right"/>
    </xf>
    <xf numFmtId="0" fontId="0" fillId="36" borderId="19" xfId="0" applyFill="1" applyBorder="1" applyAlignment="1">
      <alignment horizontal="left"/>
    </xf>
    <xf numFmtId="0" fontId="92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244" fontId="1" fillId="36" borderId="0" xfId="0" applyNumberFormat="1" applyFont="1" applyFill="1" applyAlignment="1">
      <alignment horizontal="center"/>
    </xf>
    <xf numFmtId="224" fontId="93" fillId="36" borderId="0" xfId="0" applyNumberFormat="1" applyFont="1" applyFill="1" applyAlignment="1">
      <alignment horizontal="center"/>
    </xf>
    <xf numFmtId="248" fontId="1" fillId="36" borderId="1" xfId="0" applyNumberFormat="1" applyFont="1" applyFill="1" applyBorder="1" applyAlignment="1">
      <alignment horizontal="right"/>
    </xf>
    <xf numFmtId="0" fontId="94" fillId="36" borderId="0" xfId="0" applyFont="1" applyFill="1" applyAlignment="1">
      <alignment horizontal="center"/>
    </xf>
    <xf numFmtId="0" fontId="3" fillId="36" borderId="0" xfId="213" applyFont="1" applyFill="1" applyBorder="1"/>
    <xf numFmtId="0" fontId="95" fillId="36" borderId="19" xfId="0" applyFont="1" applyFill="1" applyBorder="1" applyAlignment="1">
      <alignment horizontal="left"/>
    </xf>
    <xf numFmtId="0" fontId="65" fillId="36" borderId="5" xfId="0" applyFont="1" applyFill="1" applyBorder="1"/>
    <xf numFmtId="243" fontId="1" fillId="36" borderId="0" xfId="0" applyNumberFormat="1" applyFont="1" applyFill="1" applyAlignment="1">
      <alignment horizontal="center"/>
    </xf>
    <xf numFmtId="10" fontId="90" fillId="36" borderId="0" xfId="209" applyNumberFormat="1" applyFont="1" applyFill="1" applyBorder="1"/>
    <xf numFmtId="0" fontId="96" fillId="36" borderId="53" xfId="0" applyFont="1" applyFill="1" applyBorder="1" applyAlignment="1" applyProtection="1">
      <alignment vertical="center"/>
      <protection locked="0"/>
    </xf>
    <xf numFmtId="0" fontId="96" fillId="36" borderId="0" xfId="0" applyFont="1" applyFill="1" applyAlignment="1" applyProtection="1">
      <alignment vertical="center"/>
      <protection locked="0"/>
    </xf>
    <xf numFmtId="0" fontId="0" fillId="36" borderId="0" xfId="0" applyFill="1" applyProtection="1">
      <protection locked="0"/>
    </xf>
    <xf numFmtId="167" fontId="98" fillId="36" borderId="0" xfId="0" applyNumberFormat="1" applyFont="1" applyFill="1" applyProtection="1">
      <protection locked="0"/>
    </xf>
    <xf numFmtId="43" fontId="98" fillId="36" borderId="0" xfId="211" applyFont="1" applyFill="1" applyAlignment="1" applyProtection="1">
      <alignment horizontal="right"/>
      <protection locked="0"/>
    </xf>
    <xf numFmtId="0" fontId="96" fillId="36" borderId="50" xfId="0" applyFont="1" applyFill="1" applyBorder="1" applyAlignment="1" applyProtection="1">
      <alignment horizontal="left" indent="1"/>
      <protection locked="0"/>
    </xf>
    <xf numFmtId="0" fontId="0" fillId="36" borderId="50" xfId="0" applyFill="1" applyBorder="1" applyProtection="1">
      <protection locked="0"/>
    </xf>
    <xf numFmtId="0" fontId="100" fillId="36" borderId="50" xfId="0" applyFont="1" applyFill="1" applyBorder="1" applyProtection="1">
      <protection locked="0"/>
    </xf>
    <xf numFmtId="194" fontId="1" fillId="36" borderId="51" xfId="209" applyNumberFormat="1" applyFont="1" applyFill="1" applyBorder="1" applyProtection="1">
      <protection locked="0"/>
    </xf>
    <xf numFmtId="207" fontId="98" fillId="36" borderId="0" xfId="0" applyNumberFormat="1" applyFont="1" applyFill="1" applyProtection="1">
      <protection locked="0"/>
    </xf>
    <xf numFmtId="0" fontId="96" fillId="36" borderId="0" xfId="0" applyFont="1" applyFill="1" applyProtection="1">
      <protection locked="0"/>
    </xf>
    <xf numFmtId="0" fontId="0" fillId="36" borderId="0" xfId="0" applyFill="1" applyAlignment="1" applyProtection="1">
      <alignment horizontal="left" indent="1"/>
      <protection locked="0"/>
    </xf>
    <xf numFmtId="251" fontId="0" fillId="36" borderId="0" xfId="211" applyNumberFormat="1" applyFont="1" applyFill="1" applyProtection="1">
      <protection locked="0"/>
    </xf>
    <xf numFmtId="194" fontId="89" fillId="36" borderId="0" xfId="209" applyNumberFormat="1" applyFont="1" applyFill="1" applyBorder="1" applyProtection="1">
      <protection locked="0"/>
    </xf>
    <xf numFmtId="0" fontId="0" fillId="36" borderId="50" xfId="0" applyFill="1" applyBorder="1" applyAlignment="1" applyProtection="1">
      <alignment horizontal="left" indent="2"/>
      <protection locked="0"/>
    </xf>
    <xf numFmtId="251" fontId="1" fillId="36" borderId="52" xfId="209" applyNumberFormat="1" applyFont="1" applyFill="1" applyBorder="1" applyProtection="1">
      <protection locked="0"/>
    </xf>
    <xf numFmtId="9" fontId="0" fillId="36" borderId="0" xfId="209" applyFont="1" applyFill="1" applyProtection="1">
      <protection locked="0"/>
    </xf>
    <xf numFmtId="10" fontId="90" fillId="36" borderId="0" xfId="209" applyNumberFormat="1" applyFont="1" applyFill="1"/>
    <xf numFmtId="7" fontId="90" fillId="36" borderId="0" xfId="0" applyNumberFormat="1" applyFont="1" applyFill="1"/>
    <xf numFmtId="14" fontId="90" fillId="36" borderId="0" xfId="0" applyNumberFormat="1" applyFont="1" applyFill="1" applyAlignment="1">
      <alignment horizontal="right"/>
    </xf>
    <xf numFmtId="224" fontId="3" fillId="36" borderId="5" xfId="0" applyNumberFormat="1" applyFont="1" applyFill="1" applyBorder="1"/>
    <xf numFmtId="0" fontId="1" fillId="36" borderId="5" xfId="0" applyFont="1" applyFill="1" applyBorder="1" applyAlignment="1">
      <alignment horizontal="left"/>
    </xf>
    <xf numFmtId="0" fontId="1" fillId="36" borderId="5" xfId="0" applyFont="1" applyFill="1" applyBorder="1" applyAlignment="1">
      <alignment vertical="center"/>
    </xf>
    <xf numFmtId="37" fontId="1" fillId="36" borderId="5" xfId="0" applyNumberFormat="1" applyFont="1" applyFill="1" applyBorder="1"/>
    <xf numFmtId="0" fontId="67" fillId="36" borderId="0" xfId="0" applyFont="1" applyFill="1" applyAlignment="1">
      <alignment horizontal="right"/>
    </xf>
    <xf numFmtId="247" fontId="2" fillId="36" borderId="0" xfId="0" applyNumberFormat="1" applyFont="1" applyFill="1"/>
    <xf numFmtId="201" fontId="90" fillId="36" borderId="0" xfId="0" applyNumberFormat="1" applyFont="1" applyFill="1" applyAlignment="1">
      <alignment horizontal="right"/>
    </xf>
    <xf numFmtId="3" fontId="64" fillId="36" borderId="5" xfId="0" applyNumberFormat="1" applyFont="1" applyFill="1" applyBorder="1"/>
    <xf numFmtId="224" fontId="0" fillId="36" borderId="0" xfId="0" applyNumberFormat="1" applyFill="1" applyAlignment="1">
      <alignment horizontal="right"/>
    </xf>
    <xf numFmtId="37" fontId="0" fillId="36" borderId="0" xfId="0" applyNumberFormat="1" applyFill="1" applyAlignment="1">
      <alignment horizontal="right"/>
    </xf>
    <xf numFmtId="249" fontId="0" fillId="36" borderId="0" xfId="0" applyNumberFormat="1" applyFill="1" applyAlignment="1">
      <alignment horizontal="right"/>
    </xf>
    <xf numFmtId="249" fontId="0" fillId="36" borderId="5" xfId="0" applyNumberFormat="1" applyFill="1" applyBorder="1" applyAlignment="1">
      <alignment horizontal="right"/>
    </xf>
    <xf numFmtId="0" fontId="92" fillId="36" borderId="0" xfId="0" applyFont="1" applyFill="1" applyAlignment="1">
      <alignment horizontal="centerContinuous"/>
    </xf>
    <xf numFmtId="248" fontId="0" fillId="36" borderId="0" xfId="0" applyNumberFormat="1" applyFill="1"/>
    <xf numFmtId="0" fontId="67" fillId="36" borderId="0" xfId="0" applyFont="1" applyFill="1" applyAlignment="1">
      <alignment horizontal="centerContinuous"/>
    </xf>
    <xf numFmtId="10" fontId="0" fillId="36" borderId="5" xfId="209" applyNumberFormat="1" applyFont="1" applyFill="1" applyBorder="1"/>
    <xf numFmtId="10" fontId="2" fillId="36" borderId="5" xfId="209" applyNumberFormat="1" applyFont="1" applyFill="1" applyBorder="1"/>
    <xf numFmtId="10" fontId="0" fillId="36" borderId="6" xfId="209" applyNumberFormat="1" applyFont="1" applyFill="1" applyBorder="1"/>
    <xf numFmtId="10" fontId="2" fillId="36" borderId="6" xfId="209" applyNumberFormat="1" applyFont="1" applyFill="1" applyBorder="1"/>
    <xf numFmtId="44" fontId="0" fillId="36" borderId="0" xfId="210" applyFont="1" applyFill="1"/>
    <xf numFmtId="249" fontId="2" fillId="36" borderId="5" xfId="0" applyNumberFormat="1" applyFont="1" applyFill="1" applyBorder="1" applyAlignment="1">
      <alignment horizontal="right"/>
    </xf>
    <xf numFmtId="249" fontId="0" fillId="36" borderId="0" xfId="0" applyNumberFormat="1" applyFill="1"/>
    <xf numFmtId="10" fontId="0" fillId="36" borderId="5" xfId="209" applyNumberFormat="1" applyFont="1" applyFill="1" applyBorder="1" applyAlignment="1"/>
    <xf numFmtId="10" fontId="2" fillId="36" borderId="5" xfId="209" applyNumberFormat="1" applyFont="1" applyFill="1" applyBorder="1" applyAlignment="1"/>
    <xf numFmtId="0" fontId="1" fillId="36" borderId="5" xfId="0" applyFont="1" applyFill="1" applyBorder="1" applyAlignment="1">
      <alignment horizontal="centerContinuous"/>
    </xf>
    <xf numFmtId="0" fontId="0" fillId="36" borderId="5" xfId="0" applyFill="1" applyBorder="1"/>
    <xf numFmtId="10" fontId="0" fillId="36" borderId="0" xfId="209" applyNumberFormat="1" applyFont="1" applyFill="1" applyBorder="1"/>
    <xf numFmtId="0" fontId="1" fillId="36" borderId="5" xfId="0" applyFont="1" applyFill="1" applyBorder="1"/>
    <xf numFmtId="0" fontId="0" fillId="36" borderId="54" xfId="0" applyFill="1" applyBorder="1"/>
    <xf numFmtId="0" fontId="0" fillId="36" borderId="55" xfId="0" applyFill="1" applyBorder="1" applyAlignment="1">
      <alignment horizontal="right"/>
    </xf>
    <xf numFmtId="0" fontId="0" fillId="36" borderId="56" xfId="0" applyFill="1" applyBorder="1" applyAlignment="1">
      <alignment horizontal="right"/>
    </xf>
    <xf numFmtId="0" fontId="0" fillId="36" borderId="57" xfId="0" quotePrefix="1" applyFill="1" applyBorder="1"/>
    <xf numFmtId="39" fontId="0" fillId="36" borderId="0" xfId="0" applyNumberFormat="1" applyFill="1"/>
    <xf numFmtId="39" fontId="0" fillId="36" borderId="58" xfId="0" applyNumberFormat="1" applyFill="1" applyBorder="1"/>
    <xf numFmtId="0" fontId="0" fillId="36" borderId="57" xfId="0" applyFill="1" applyBorder="1"/>
    <xf numFmtId="0" fontId="0" fillId="36" borderId="59" xfId="0" applyFill="1" applyBorder="1"/>
    <xf numFmtId="39" fontId="0" fillId="36" borderId="1" xfId="0" applyNumberFormat="1" applyFill="1" applyBorder="1"/>
    <xf numFmtId="39" fontId="0" fillId="36" borderId="60" xfId="0" applyNumberFormat="1" applyFill="1" applyBorder="1"/>
    <xf numFmtId="10" fontId="96" fillId="36" borderId="53" xfId="209" applyNumberFormat="1" applyFont="1" applyFill="1" applyBorder="1" applyAlignment="1" applyProtection="1">
      <alignment vertical="center"/>
      <protection locked="0"/>
    </xf>
  </cellXfs>
  <cellStyles count="214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" xfId="211" builtinId="3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" xfId="210" builtinId="4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Hyperlink" xfId="213" builtinId="8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_DCF_Model" xfId="212" xr:uid="{B69D28B4-0E3D-48A2-A216-F12864C2A4C2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0000FF"/>
      <color rgb="FF008000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Equity Valuation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DCF!$D$152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DCF!$D$153:$D$155</c:f>
              <c:numCache>
                <c:formatCode>#,##0.00_);\(#,##0.00\)</c:formatCode>
                <c:ptCount val="3"/>
                <c:pt idx="0">
                  <c:v>985.45781828007239</c:v>
                </c:pt>
                <c:pt idx="1">
                  <c:v>1009.6519248838873</c:v>
                </c:pt>
                <c:pt idx="2">
                  <c:v>92.22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1-44FF-B1D9-9F528732ACFA}"/>
            </c:ext>
          </c:extLst>
        </c:ser>
        <c:ser>
          <c:idx val="1"/>
          <c:order val="1"/>
          <c:tx>
            <c:strRef>
              <c:f>DCF!$E$152</c:f>
              <c:strCache>
                <c:ptCount val="1"/>
                <c:pt idx="0">
                  <c:v>Diff.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DCF!$E$153:$E$155</c:f>
              <c:numCache>
                <c:formatCode>#,##0.00_);\(#,##0.00\)</c:formatCode>
                <c:ptCount val="3"/>
                <c:pt idx="0">
                  <c:v>99.760513983102101</c:v>
                </c:pt>
                <c:pt idx="1">
                  <c:v>159.87792897987549</c:v>
                </c:pt>
                <c:pt idx="2">
                  <c:v>824.54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1-44FF-B1D9-9F528732ACFA}"/>
            </c:ext>
          </c:extLst>
        </c:ser>
        <c:ser>
          <c:idx val="2"/>
          <c:order val="2"/>
          <c:tx>
            <c:strRef>
              <c:f>DCF!$F$152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12.0x-14.0x Exit EBITDA Range at 12.6% WACC</c:v>
                </c:pt>
                <c:pt idx="1">
                  <c:v>DCF Value at 2.0%-4.0% Perpetuity Range at 12.6%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DCF!$F$153:$F$155</c:f>
              <c:numCache>
                <c:formatCode>#,##0.00_);\(#,##0.00\)</c:formatCode>
                <c:ptCount val="3"/>
                <c:pt idx="0">
                  <c:v>1085.2183322631745</c:v>
                </c:pt>
                <c:pt idx="1">
                  <c:v>1169.5298538637628</c:v>
                </c:pt>
                <c:pt idx="2">
                  <c:v>916.76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1-44FF-B1D9-9F528732AC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1111312"/>
        <c:axId val="971111672"/>
      </c:barChart>
      <c:catAx>
        <c:axId val="9711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672"/>
        <c:crosses val="autoZero"/>
        <c:auto val="1"/>
        <c:lblAlgn val="ctr"/>
        <c:lblOffset val="100"/>
        <c:tickLblSkip val="1"/>
        <c:noMultiLvlLbl val="0"/>
      </c:catAx>
      <c:valAx>
        <c:axId val="971111672"/>
        <c:scaling>
          <c:orientation val="minMax"/>
          <c:max val="1200"/>
        </c:scaling>
        <c:delete val="0"/>
        <c:axPos val="l"/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22412</xdr:colOff>
      <xdr:row>129</xdr:row>
      <xdr:rowOff>146796</xdr:rowOff>
    </xdr:from>
    <xdr:to>
      <xdr:col>6</xdr:col>
      <xdr:colOff>100853</xdr:colOff>
      <xdr:row>148</xdr:row>
      <xdr:rowOff>168088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C5750-CC16-469C-9018-646A0E39B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0EA2F9-C87A-428F-8C53-0B6B7B1B836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7291d2-af9f-4668-a37c-0b6d5c7421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U244"/>
  <sheetViews>
    <sheetView tabSelected="1" topLeftCell="A189" zoomScale="85" zoomScaleNormal="85" workbookViewId="0">
      <selection activeCell="P233" sqref="P233"/>
    </sheetView>
  </sheetViews>
  <sheetFormatPr defaultRowHeight="15"/>
  <cols>
    <col min="1" max="2" width="1.7109375" style="1" customWidth="1"/>
    <col min="3" max="3" width="56.7109375" style="1" bestFit="1" customWidth="1"/>
    <col min="4" max="4" width="12.5703125" style="1" bestFit="1" customWidth="1"/>
    <col min="5" max="7" width="11.5703125" style="1" bestFit="1" customWidth="1"/>
    <col min="8" max="9" width="9.85546875" style="1" bestFit="1" customWidth="1"/>
    <col min="10" max="11" width="10.42578125" style="1" bestFit="1" customWidth="1"/>
    <col min="12" max="12" width="11" style="1" customWidth="1"/>
    <col min="13" max="16384" width="9.140625" style="1"/>
  </cols>
  <sheetData>
    <row r="1" spans="2:11" ht="15.75" thickBot="1"/>
    <row r="2" spans="2:11" ht="15.75" thickBot="1">
      <c r="C2" s="2" t="str">
        <f>"Financial Statement Model for "&amp;D5</f>
        <v>Financial Statement Model for Micron</v>
      </c>
      <c r="D2" s="3"/>
      <c r="E2" s="3"/>
      <c r="F2" s="3"/>
      <c r="G2" s="3"/>
      <c r="H2" s="3"/>
      <c r="I2" s="3"/>
      <c r="J2" s="3"/>
      <c r="K2" s="3"/>
    </row>
    <row r="3" spans="2:11">
      <c r="C3" s="4" t="s">
        <v>156</v>
      </c>
      <c r="E3" s="5"/>
      <c r="F3" s="5"/>
      <c r="G3" s="5"/>
      <c r="H3" s="5"/>
    </row>
    <row r="5" spans="2:11">
      <c r="C5" s="6" t="s">
        <v>0</v>
      </c>
      <c r="D5" s="7" t="s">
        <v>123</v>
      </c>
    </row>
    <row r="6" spans="2:11">
      <c r="C6" s="6" t="s">
        <v>1</v>
      </c>
      <c r="D6" s="7" t="s">
        <v>124</v>
      </c>
    </row>
    <row r="7" spans="2:11">
      <c r="C7" s="1" t="s">
        <v>2</v>
      </c>
      <c r="D7" s="8">
        <v>1</v>
      </c>
    </row>
    <row r="8" spans="2:11">
      <c r="C8" s="1" t="s">
        <v>4</v>
      </c>
      <c r="D8" s="9">
        <v>46168</v>
      </c>
    </row>
    <row r="9" spans="2:11">
      <c r="C9" s="1" t="s">
        <v>3</v>
      </c>
      <c r="D9" s="10">
        <v>895.88</v>
      </c>
    </row>
    <row r="10" spans="2:11">
      <c r="C10" s="6" t="s">
        <v>5</v>
      </c>
      <c r="D10" s="11">
        <v>45897</v>
      </c>
      <c r="G10" s="12"/>
    </row>
    <row r="11" spans="2:11">
      <c r="C11" s="1" t="s">
        <v>6</v>
      </c>
      <c r="D11" s="13">
        <v>1122.4659999999999</v>
      </c>
    </row>
    <row r="12" spans="2:11">
      <c r="C12" s="1" t="s">
        <v>139</v>
      </c>
      <c r="D12" s="13" t="s">
        <v>154</v>
      </c>
    </row>
    <row r="14" spans="2:11">
      <c r="B14" s="1" t="s">
        <v>125</v>
      </c>
      <c r="C14" s="14" t="s">
        <v>7</v>
      </c>
      <c r="D14" s="15"/>
      <c r="E14" s="15"/>
      <c r="F14" s="15"/>
      <c r="G14" s="15"/>
      <c r="H14" s="15"/>
      <c r="I14" s="15"/>
      <c r="J14" s="15"/>
      <c r="K14" s="15"/>
    </row>
    <row r="15" spans="2:11">
      <c r="C15" s="1" t="s">
        <v>8</v>
      </c>
      <c r="D15" s="16">
        <f>E15-1</f>
        <v>2023</v>
      </c>
      <c r="E15" s="16">
        <f>F15-1</f>
        <v>2024</v>
      </c>
      <c r="F15" s="16">
        <v>2025</v>
      </c>
      <c r="G15" s="17">
        <v>2026</v>
      </c>
      <c r="H15" s="17">
        <f>G15+1</f>
        <v>2027</v>
      </c>
      <c r="I15" s="17">
        <f>H15+1</f>
        <v>2028</v>
      </c>
      <c r="J15" s="17">
        <f>I15+1</f>
        <v>2029</v>
      </c>
      <c r="K15" s="17">
        <f>J15+1</f>
        <v>2030</v>
      </c>
    </row>
    <row r="16" spans="2:11">
      <c r="C16" s="18" t="s">
        <v>9</v>
      </c>
      <c r="D16" s="19">
        <f>DATE(2024,8,29)-364</f>
        <v>45169</v>
      </c>
      <c r="E16" s="19">
        <f>DATE(2025,8,28)-364</f>
        <v>45533</v>
      </c>
      <c r="F16" s="19">
        <f>D10</f>
        <v>45897</v>
      </c>
      <c r="G16" s="19">
        <f>DATE(2025,8,28)+364</f>
        <v>46261</v>
      </c>
      <c r="H16" s="19">
        <f>DATE(2026,8,27)+364</f>
        <v>46625</v>
      </c>
      <c r="I16" s="19">
        <f>DATE(2027,8,26)+371</f>
        <v>46996</v>
      </c>
      <c r="J16" s="19">
        <f>DATE(2028,8,31)+364</f>
        <v>47360</v>
      </c>
      <c r="K16" s="19">
        <f>DATE(2029,8,30)+364</f>
        <v>47724</v>
      </c>
    </row>
    <row r="17" spans="3:13">
      <c r="C17" s="20"/>
      <c r="D17" s="21"/>
      <c r="E17" s="22"/>
      <c r="F17" s="22"/>
      <c r="G17" s="23"/>
      <c r="H17" s="24"/>
      <c r="I17" s="24"/>
      <c r="J17" s="22"/>
      <c r="K17" s="22"/>
    </row>
    <row r="18" spans="3:13">
      <c r="C18" s="1" t="s">
        <v>10</v>
      </c>
      <c r="D18" s="25">
        <v>15540</v>
      </c>
      <c r="E18" s="25">
        <v>25111</v>
      </c>
      <c r="F18" s="25">
        <v>37378</v>
      </c>
      <c r="G18" s="26">
        <f ca="1">F18*(1+G39)</f>
        <v>111252.28463999998</v>
      </c>
      <c r="H18" s="26">
        <f t="shared" ref="H18:K18" ca="1" si="0">G18*(1+H39)</f>
        <v>158866.68188159997</v>
      </c>
      <c r="I18" s="26">
        <f t="shared" ca="1" si="0"/>
        <v>159891.87805194236</v>
      </c>
      <c r="J18" s="26">
        <f t="shared" ca="1" si="0"/>
        <v>149898.63567369597</v>
      </c>
      <c r="K18" s="26">
        <f t="shared" ca="1" si="0"/>
        <v>161890.52652759166</v>
      </c>
    </row>
    <row r="19" spans="3:13">
      <c r="C19" s="1" t="s">
        <v>11</v>
      </c>
      <c r="D19" s="25">
        <v>-16956</v>
      </c>
      <c r="E19" s="25">
        <v>-19498</v>
      </c>
      <c r="F19" s="25">
        <v>-22505</v>
      </c>
      <c r="G19" s="26">
        <f ca="1">G20-G18</f>
        <v>-27813.071159999992</v>
      </c>
      <c r="H19" s="26">
        <f t="shared" ref="H19:K19" ca="1" si="1">H20-H18</f>
        <v>-31773.336376319989</v>
      </c>
      <c r="I19" s="26">
        <f t="shared" ca="1" si="1"/>
        <v>-55962.157318179816</v>
      </c>
      <c r="J19" s="26">
        <f t="shared" ca="1" si="1"/>
        <v>-67454.38605316318</v>
      </c>
      <c r="K19" s="26">
        <f t="shared" ca="1" si="1"/>
        <v>-80945.26326379583</v>
      </c>
    </row>
    <row r="20" spans="3:13">
      <c r="C20" s="27" t="s">
        <v>12</v>
      </c>
      <c r="D20" s="28">
        <f t="shared" ref="D20:F20" si="2">SUM(D18:D19)</f>
        <v>-1416</v>
      </c>
      <c r="E20" s="28">
        <f t="shared" si="2"/>
        <v>5613</v>
      </c>
      <c r="F20" s="28">
        <f t="shared" si="2"/>
        <v>14873</v>
      </c>
      <c r="G20" s="28">
        <f ca="1">G18*G40</f>
        <v>83439.213479999991</v>
      </c>
      <c r="H20" s="28">
        <f t="shared" ref="H20:K20" ca="1" si="3">H18*H40</f>
        <v>127093.34550527998</v>
      </c>
      <c r="I20" s="28">
        <f t="shared" ca="1" si="3"/>
        <v>103929.72073376254</v>
      </c>
      <c r="J20" s="28">
        <f t="shared" ca="1" si="3"/>
        <v>82444.249620532792</v>
      </c>
      <c r="K20" s="28">
        <f t="shared" ca="1" si="3"/>
        <v>80945.26326379583</v>
      </c>
    </row>
    <row r="21" spans="3:13">
      <c r="C21" s="1" t="s">
        <v>13</v>
      </c>
      <c r="D21" s="25">
        <v>-3114</v>
      </c>
      <c r="E21" s="25">
        <v>-3430</v>
      </c>
      <c r="F21" s="25">
        <v>-3798</v>
      </c>
      <c r="G21" s="26">
        <f ca="1">-G18*G41</f>
        <v>-9790.2010483199974</v>
      </c>
      <c r="H21" s="26">
        <f ca="1">-H18*H41</f>
        <v>-14679.281405859836</v>
      </c>
      <c r="I21" s="26">
        <f t="shared" ref="I21:K21" ca="1" si="4">-I18*I41</f>
        <v>-14710.052780778697</v>
      </c>
      <c r="J21" s="26">
        <f t="shared" ca="1" si="4"/>
        <v>-13790.67448198003</v>
      </c>
      <c r="K21" s="26">
        <f t="shared" ca="1" si="4"/>
        <v>-14893.928440538433</v>
      </c>
    </row>
    <row r="22" spans="3:13">
      <c r="C22" s="1" t="s">
        <v>14</v>
      </c>
      <c r="D22" s="25">
        <v>-920</v>
      </c>
      <c r="E22" s="25">
        <v>-1129</v>
      </c>
      <c r="F22" s="25">
        <v>-1205</v>
      </c>
      <c r="G22" s="26">
        <f ca="1">-(G18*G42)</f>
        <v>-2781.307116</v>
      </c>
      <c r="H22" s="26">
        <f t="shared" ref="H22:K22" ca="1" si="5">-(H18*H42)</f>
        <v>-3971.6670470399995</v>
      </c>
      <c r="I22" s="26">
        <f t="shared" ca="1" si="5"/>
        <v>-3997.2969512985592</v>
      </c>
      <c r="J22" s="26">
        <f t="shared" ca="1" si="5"/>
        <v>-3747.4658918423993</v>
      </c>
      <c r="K22" s="26">
        <f t="shared" ca="1" si="5"/>
        <v>-4047.2631631897916</v>
      </c>
    </row>
    <row r="23" spans="3:13">
      <c r="C23" s="1" t="s">
        <v>137</v>
      </c>
      <c r="D23" s="25">
        <v>-171</v>
      </c>
      <c r="E23" s="25">
        <v>-1</v>
      </c>
      <c r="F23" s="25">
        <v>-39</v>
      </c>
      <c r="G23" s="126">
        <v>0</v>
      </c>
      <c r="H23" s="126">
        <v>0</v>
      </c>
      <c r="I23" s="126">
        <v>0</v>
      </c>
      <c r="J23" s="126">
        <v>0</v>
      </c>
      <c r="K23" s="126">
        <v>0</v>
      </c>
    </row>
    <row r="24" spans="3:13">
      <c r="C24" s="1" t="s">
        <v>138</v>
      </c>
      <c r="D24" s="25">
        <v>-124</v>
      </c>
      <c r="E24" s="25">
        <v>251</v>
      </c>
      <c r="F24" s="25">
        <v>-61</v>
      </c>
      <c r="G24" s="126">
        <v>0</v>
      </c>
      <c r="H24" s="126">
        <v>0</v>
      </c>
      <c r="I24" s="126">
        <v>0</v>
      </c>
      <c r="J24" s="126">
        <v>0</v>
      </c>
      <c r="K24" s="126">
        <v>0</v>
      </c>
    </row>
    <row r="25" spans="3:13">
      <c r="C25" s="27" t="s">
        <v>15</v>
      </c>
      <c r="D25" s="28">
        <f>SUM(D20:D24)</f>
        <v>-5745</v>
      </c>
      <c r="E25" s="28">
        <f t="shared" ref="E25:F25" si="6">SUM(E20:E24)</f>
        <v>1304</v>
      </c>
      <c r="F25" s="28">
        <f t="shared" si="6"/>
        <v>9770</v>
      </c>
      <c r="G25" s="28">
        <f ca="1">SUM(G20:G22)</f>
        <v>70867.705315679996</v>
      </c>
      <c r="H25" s="28">
        <f t="shared" ref="H25" ca="1" si="7">SUM(H20:H22)</f>
        <v>108442.39705238015</v>
      </c>
      <c r="I25" s="28">
        <f t="shared" ref="I25" ca="1" si="8">SUM(I20:I22)</f>
        <v>85222.371001685286</v>
      </c>
      <c r="J25" s="28">
        <f t="shared" ref="J25" ca="1" si="9">SUM(J20:J22)</f>
        <v>64906.109246710359</v>
      </c>
      <c r="K25" s="28">
        <f t="shared" ref="K25" ca="1" si="10">SUM(K20:K22)</f>
        <v>62004.071660067602</v>
      </c>
    </row>
    <row r="26" spans="3:13">
      <c r="C26" s="1" t="s">
        <v>16</v>
      </c>
      <c r="D26" s="25">
        <v>468</v>
      </c>
      <c r="E26" s="25">
        <v>529</v>
      </c>
      <c r="F26" s="25">
        <v>496</v>
      </c>
      <c r="G26" s="26">
        <f ca="1">G170</f>
        <v>914.54549776191925</v>
      </c>
      <c r="H26" s="26">
        <f ca="1">H170</f>
        <v>2613.4693389969343</v>
      </c>
      <c r="I26" s="26">
        <f ca="1">I170</f>
        <v>5083.8372973600399</v>
      </c>
      <c r="J26" s="26">
        <f ca="1">J170</f>
        <v>7288.7902038241455</v>
      </c>
      <c r="K26" s="26">
        <f ca="1">K170</f>
        <v>9190.9366925014328</v>
      </c>
    </row>
    <row r="27" spans="3:13">
      <c r="C27" s="1" t="s">
        <v>17</v>
      </c>
      <c r="D27" s="25">
        <v>-388</v>
      </c>
      <c r="E27" s="25">
        <v>-562</v>
      </c>
      <c r="F27" s="25">
        <v>-477</v>
      </c>
      <c r="G27" s="26">
        <f ca="1">-G153</f>
        <v>-619.89249999999993</v>
      </c>
      <c r="H27" s="26">
        <f t="shared" ref="H27:K27" ca="1" si="11">-H153</f>
        <v>-423.39249999999998</v>
      </c>
      <c r="I27" s="26">
        <f t="shared" ca="1" si="11"/>
        <v>-318.39249999999998</v>
      </c>
      <c r="J27" s="26">
        <f t="shared" ca="1" si="11"/>
        <v>-213.39249999999998</v>
      </c>
      <c r="K27" s="26">
        <f t="shared" ca="1" si="11"/>
        <v>-108.3925</v>
      </c>
    </row>
    <row r="28" spans="3:13">
      <c r="C28" s="1" t="s">
        <v>18</v>
      </c>
      <c r="D28" s="25">
        <v>7</v>
      </c>
      <c r="E28" s="25">
        <v>-31</v>
      </c>
      <c r="F28" s="25">
        <v>-135</v>
      </c>
      <c r="G28" s="26">
        <f>F28</f>
        <v>-135</v>
      </c>
      <c r="H28" s="26">
        <f t="shared" ref="H28:K28" si="12">G28</f>
        <v>-135</v>
      </c>
      <c r="I28" s="26">
        <f t="shared" si="12"/>
        <v>-135</v>
      </c>
      <c r="J28" s="26">
        <f t="shared" si="12"/>
        <v>-135</v>
      </c>
      <c r="K28" s="26">
        <f t="shared" si="12"/>
        <v>-135</v>
      </c>
    </row>
    <row r="29" spans="3:13">
      <c r="C29" s="27" t="s">
        <v>19</v>
      </c>
      <c r="D29" s="28">
        <f t="shared" ref="D29:K29" si="13">SUM(D25:D28)</f>
        <v>-5658</v>
      </c>
      <c r="E29" s="28">
        <f t="shared" si="13"/>
        <v>1240</v>
      </c>
      <c r="F29" s="28">
        <f t="shared" si="13"/>
        <v>9654</v>
      </c>
      <c r="G29" s="28">
        <f ca="1">SUM(G25:G28)</f>
        <v>71027.358313441917</v>
      </c>
      <c r="H29" s="28">
        <f t="shared" ca="1" si="13"/>
        <v>110497.47389137709</v>
      </c>
      <c r="I29" s="28">
        <f ca="1">SUM(I25:I28)</f>
        <v>89852.815799045318</v>
      </c>
      <c r="J29" s="28">
        <f t="shared" ca="1" si="13"/>
        <v>71846.506950534502</v>
      </c>
      <c r="K29" s="28">
        <f t="shared" ca="1" si="13"/>
        <v>70951.615852569041</v>
      </c>
      <c r="M29" s="27"/>
    </row>
    <row r="30" spans="3:13">
      <c r="C30" s="1" t="s">
        <v>20</v>
      </c>
      <c r="D30" s="25">
        <v>-177</v>
      </c>
      <c r="E30" s="25">
        <v>-451</v>
      </c>
      <c r="F30" s="25">
        <v>-1124</v>
      </c>
      <c r="G30" s="26">
        <f ca="1">-G29*G44</f>
        <v>-11719.514121717917</v>
      </c>
      <c r="H30" s="26">
        <f t="shared" ref="H30:K30" ca="1" si="14">-H29*H44</f>
        <v>-18232.083192077222</v>
      </c>
      <c r="I30" s="26">
        <f t="shared" ca="1" si="14"/>
        <v>-14825.714606842479</v>
      </c>
      <c r="J30" s="26">
        <f t="shared" ca="1" si="14"/>
        <v>-11854.673646838193</v>
      </c>
      <c r="K30" s="26">
        <f t="shared" ca="1" si="14"/>
        <v>-11707.016615673892</v>
      </c>
    </row>
    <row r="31" spans="3:13">
      <c r="C31" s="27" t="s">
        <v>21</v>
      </c>
      <c r="D31" s="28">
        <f t="shared" ref="D31:K31" si="15">SUM(D29:D30)</f>
        <v>-5835</v>
      </c>
      <c r="E31" s="28">
        <f t="shared" si="15"/>
        <v>789</v>
      </c>
      <c r="F31" s="28">
        <f t="shared" si="15"/>
        <v>8530</v>
      </c>
      <c r="G31" s="28">
        <f t="shared" ca="1" si="15"/>
        <v>59307.844191723998</v>
      </c>
      <c r="H31" s="28">
        <f t="shared" ca="1" si="15"/>
        <v>92265.390699299867</v>
      </c>
      <c r="I31" s="28">
        <f t="shared" ca="1" si="15"/>
        <v>75027.101192202841</v>
      </c>
      <c r="J31" s="28">
        <f t="shared" ca="1" si="15"/>
        <v>59991.833303696309</v>
      </c>
      <c r="K31" s="28">
        <f t="shared" ca="1" si="15"/>
        <v>59244.599236895148</v>
      </c>
    </row>
    <row r="32" spans="3:13">
      <c r="C32" s="29"/>
      <c r="D32" s="30"/>
      <c r="E32" s="30"/>
      <c r="F32" s="30"/>
    </row>
    <row r="33" spans="2:17">
      <c r="C33" s="31" t="s">
        <v>22</v>
      </c>
      <c r="D33" s="25">
        <v>7756</v>
      </c>
      <c r="E33" s="25">
        <v>7780</v>
      </c>
      <c r="F33" s="25">
        <v>8352</v>
      </c>
      <c r="G33" s="26">
        <f ca="1">G117</f>
        <v>15040.64891876328</v>
      </c>
      <c r="H33" s="26">
        <f t="shared" ref="H33:K33" ca="1" si="16">H117</f>
        <v>22612.893137776358</v>
      </c>
      <c r="I33" s="26">
        <f t="shared" ca="1" si="16"/>
        <v>27082.588681108438</v>
      </c>
      <c r="J33" s="26">
        <f t="shared" ca="1" si="16"/>
        <v>29051.359798676418</v>
      </c>
      <c r="K33" s="26">
        <f t="shared" ca="1" si="16"/>
        <v>31044.614360071104</v>
      </c>
    </row>
    <row r="34" spans="2:17">
      <c r="C34" s="32" t="s">
        <v>23</v>
      </c>
      <c r="D34" s="28">
        <f t="shared" ref="D34:K34" si="17">D33+D25</f>
        <v>2011</v>
      </c>
      <c r="E34" s="28">
        <f t="shared" si="17"/>
        <v>9084</v>
      </c>
      <c r="F34" s="28">
        <f t="shared" si="17"/>
        <v>18122</v>
      </c>
      <c r="G34" s="28">
        <f t="shared" ca="1" si="17"/>
        <v>85908.354234443279</v>
      </c>
      <c r="H34" s="28">
        <f t="shared" ca="1" si="17"/>
        <v>131055.29019015652</v>
      </c>
      <c r="I34" s="28">
        <f t="shared" ca="1" si="17"/>
        <v>112304.95968279372</v>
      </c>
      <c r="J34" s="28">
        <f t="shared" ca="1" si="17"/>
        <v>93957.469045386781</v>
      </c>
      <c r="K34" s="28">
        <f t="shared" ca="1" si="17"/>
        <v>93048.686020138703</v>
      </c>
    </row>
    <row r="35" spans="2:17">
      <c r="C35" s="31" t="s">
        <v>24</v>
      </c>
      <c r="D35" s="25">
        <v>596</v>
      </c>
      <c r="E35" s="25">
        <v>833</v>
      </c>
      <c r="F35" s="25">
        <v>972</v>
      </c>
      <c r="G35" s="26">
        <f>F35*(1+G43)</f>
        <v>1069.2</v>
      </c>
      <c r="H35" s="26">
        <f t="shared" ref="H35:K35" si="18">G35*(1+H43)</f>
        <v>1176.1200000000001</v>
      </c>
      <c r="I35" s="26">
        <f t="shared" si="18"/>
        <v>1293.7320000000002</v>
      </c>
      <c r="J35" s="26">
        <f t="shared" si="18"/>
        <v>1423.1052000000004</v>
      </c>
      <c r="K35" s="26">
        <f t="shared" si="18"/>
        <v>1565.4157200000006</v>
      </c>
    </row>
    <row r="36" spans="2:17">
      <c r="C36" s="32" t="s">
        <v>25</v>
      </c>
      <c r="D36" s="28">
        <f t="shared" ref="D36:K36" si="19">SUM(D34:D35)</f>
        <v>2607</v>
      </c>
      <c r="E36" s="28">
        <f t="shared" si="19"/>
        <v>9917</v>
      </c>
      <c r="F36" s="28">
        <f t="shared" si="19"/>
        <v>19094</v>
      </c>
      <c r="G36" s="28">
        <f t="shared" ca="1" si="19"/>
        <v>86977.554234443276</v>
      </c>
      <c r="H36" s="28">
        <f t="shared" ca="1" si="19"/>
        <v>132231.41019015652</v>
      </c>
      <c r="I36" s="28">
        <f t="shared" ca="1" si="19"/>
        <v>113598.69168279372</v>
      </c>
      <c r="J36" s="28">
        <f t="shared" ca="1" si="19"/>
        <v>95380.574245386786</v>
      </c>
      <c r="K36" s="28">
        <f t="shared" ca="1" si="19"/>
        <v>94614.101740138707</v>
      </c>
    </row>
    <row r="37" spans="2:17">
      <c r="C37" s="29"/>
    </row>
    <row r="38" spans="2:17">
      <c r="C38" s="33" t="s">
        <v>26</v>
      </c>
    </row>
    <row r="39" spans="2:17">
      <c r="C39" s="29" t="s">
        <v>27</v>
      </c>
      <c r="D39" s="34"/>
      <c r="E39" s="34">
        <f>E18/D18-1</f>
        <v>0.61589446589446584</v>
      </c>
      <c r="F39" s="34">
        <f>F18/E18-1</f>
        <v>0.48851101111066852</v>
      </c>
      <c r="G39" s="35">
        <f ca="1">G220</f>
        <v>1.9764108470223123</v>
      </c>
      <c r="H39" s="35">
        <f t="shared" ref="H39:K39" ca="1" si="20">H220</f>
        <v>0.42798579279225479</v>
      </c>
      <c r="I39" s="35">
        <f t="shared" ca="1" si="20"/>
        <v>6.4531855150500306E-3</v>
      </c>
      <c r="J39" s="35">
        <f t="shared" ca="1" si="20"/>
        <v>-6.2499999999999889E-2</v>
      </c>
      <c r="K39" s="35">
        <f t="shared" ca="1" si="20"/>
        <v>8.0000000000000071E-2</v>
      </c>
      <c r="N39" s="36"/>
      <c r="O39" s="36"/>
      <c r="P39" s="36"/>
      <c r="Q39" s="36"/>
    </row>
    <row r="40" spans="2:17">
      <c r="C40" s="29" t="s">
        <v>28</v>
      </c>
      <c r="D40" s="34">
        <f>D20/D18</f>
        <v>-9.1119691119691121E-2</v>
      </c>
      <c r="E40" s="34">
        <f t="shared" ref="E40" si="21">E20/E18</f>
        <v>0.22352753773246783</v>
      </c>
      <c r="F40" s="34">
        <f>F20/F18</f>
        <v>0.39790786023864305</v>
      </c>
      <c r="G40" s="35">
        <f ca="1">G221</f>
        <v>0.75</v>
      </c>
      <c r="H40" s="35">
        <f t="shared" ref="H40:K40" ca="1" si="22">H221</f>
        <v>0.8</v>
      </c>
      <c r="I40" s="35">
        <f t="shared" ca="1" si="22"/>
        <v>0.65</v>
      </c>
      <c r="J40" s="35">
        <f t="shared" ca="1" si="22"/>
        <v>0.55000000000000004</v>
      </c>
      <c r="K40" s="35">
        <f t="shared" ca="1" si="22"/>
        <v>0.5</v>
      </c>
      <c r="N40" s="36"/>
      <c r="O40" s="36"/>
      <c r="P40" s="36"/>
      <c r="Q40" s="36"/>
    </row>
    <row r="41" spans="2:17">
      <c r="C41" s="29" t="s">
        <v>29</v>
      </c>
      <c r="D41" s="34">
        <f>-(D21/D18)</f>
        <v>0.20038610038610039</v>
      </c>
      <c r="E41" s="34">
        <f t="shared" ref="E41:F41" si="23">-(E21/E18)</f>
        <v>0.13659352475010952</v>
      </c>
      <c r="F41" s="34">
        <f t="shared" si="23"/>
        <v>0.10161057306436941</v>
      </c>
      <c r="G41" s="35">
        <f ca="1">G222</f>
        <v>8.7999999999999995E-2</v>
      </c>
      <c r="H41" s="35">
        <f t="shared" ref="H41:K41" ca="1" si="24">H222</f>
        <v>9.2399999999999996E-2</v>
      </c>
      <c r="I41" s="35">
        <f t="shared" ca="1" si="24"/>
        <v>9.1999999999999998E-2</v>
      </c>
      <c r="J41" s="35">
        <f t="shared" ca="1" si="24"/>
        <v>9.1999999999999998E-2</v>
      </c>
      <c r="K41" s="35">
        <f t="shared" ca="1" si="24"/>
        <v>9.1999999999999998E-2</v>
      </c>
      <c r="N41" s="36"/>
      <c r="O41" s="36"/>
      <c r="P41" s="36"/>
      <c r="Q41" s="36"/>
    </row>
    <row r="42" spans="2:17">
      <c r="C42" s="29" t="s">
        <v>30</v>
      </c>
      <c r="D42" s="34">
        <f>-(D22/D18)</f>
        <v>5.9202059202059204E-2</v>
      </c>
      <c r="E42" s="34">
        <f t="shared" ref="E42:F42" si="25">-(E22/E18)</f>
        <v>4.496037593086695E-2</v>
      </c>
      <c r="F42" s="34">
        <f t="shared" si="25"/>
        <v>3.2238214992776501E-2</v>
      </c>
      <c r="G42" s="35">
        <f ca="1">G223</f>
        <v>2.5000000000000001E-2</v>
      </c>
      <c r="H42" s="35">
        <f t="shared" ref="H42:K42" ca="1" si="26">H223</f>
        <v>2.5000000000000001E-2</v>
      </c>
      <c r="I42" s="35">
        <f t="shared" ca="1" si="26"/>
        <v>2.5000000000000001E-2</v>
      </c>
      <c r="J42" s="35">
        <f t="shared" ca="1" si="26"/>
        <v>2.5000000000000001E-2</v>
      </c>
      <c r="K42" s="35">
        <f t="shared" ca="1" si="26"/>
        <v>2.5000000000000001E-2</v>
      </c>
      <c r="N42" s="36"/>
      <c r="O42" s="36"/>
      <c r="P42" s="36"/>
      <c r="Q42" s="36"/>
    </row>
    <row r="43" spans="2:17">
      <c r="C43" s="29" t="s">
        <v>161</v>
      </c>
      <c r="D43" s="34"/>
      <c r="E43" s="34">
        <f>(E35/D35)-1</f>
        <v>0.3976510067114094</v>
      </c>
      <c r="F43" s="34">
        <f>(F35/E35)-1</f>
        <v>0.16686674669867951</v>
      </c>
      <c r="G43" s="35">
        <v>0.1</v>
      </c>
      <c r="H43" s="35">
        <v>0.1</v>
      </c>
      <c r="I43" s="35">
        <v>0.1</v>
      </c>
      <c r="J43" s="35">
        <v>0.1</v>
      </c>
      <c r="K43" s="35">
        <v>0.1</v>
      </c>
      <c r="N43" s="36"/>
      <c r="O43" s="36"/>
      <c r="P43" s="36"/>
      <c r="Q43" s="36"/>
    </row>
    <row r="44" spans="2:17">
      <c r="C44" s="29" t="s">
        <v>31</v>
      </c>
      <c r="D44" s="37" t="s">
        <v>157</v>
      </c>
      <c r="E44" s="34">
        <f>-E30/E29</f>
        <v>0.36370967741935484</v>
      </c>
      <c r="F44" s="34">
        <f>-F30/F29</f>
        <v>0.1164284234514191</v>
      </c>
      <c r="G44" s="35">
        <v>0.16500000000000001</v>
      </c>
      <c r="H44" s="35">
        <v>0.16500000000000001</v>
      </c>
      <c r="I44" s="35">
        <v>0.16500000000000001</v>
      </c>
      <c r="J44" s="35">
        <v>0.16500000000000001</v>
      </c>
      <c r="K44" s="35">
        <v>0.16500000000000001</v>
      </c>
      <c r="N44" s="36"/>
      <c r="O44" s="36"/>
      <c r="P44" s="36"/>
      <c r="Q44" s="36"/>
    </row>
    <row r="45" spans="2:17">
      <c r="C45" s="29"/>
      <c r="G45" s="38"/>
    </row>
    <row r="46" spans="2:17">
      <c r="B46" s="1" t="s">
        <v>125</v>
      </c>
      <c r="C46" s="14" t="s">
        <v>32</v>
      </c>
      <c r="D46" s="39"/>
      <c r="E46" s="39"/>
      <c r="F46" s="39"/>
      <c r="G46" s="15"/>
      <c r="H46" s="15"/>
      <c r="I46" s="15"/>
      <c r="J46" s="15"/>
      <c r="K46" s="15"/>
    </row>
    <row r="47" spans="2:17">
      <c r="C47" s="40" t="s">
        <v>8</v>
      </c>
      <c r="D47" s="41"/>
      <c r="E47" s="41">
        <f>F47-1</f>
        <v>2024</v>
      </c>
      <c r="F47" s="41">
        <v>2025</v>
      </c>
      <c r="G47" s="42">
        <v>2026</v>
      </c>
      <c r="H47" s="42">
        <f>G47+1</f>
        <v>2027</v>
      </c>
      <c r="I47" s="42">
        <f>H47+1</f>
        <v>2028</v>
      </c>
      <c r="J47" s="42">
        <f>I47+1</f>
        <v>2029</v>
      </c>
      <c r="K47" s="42">
        <f>J47+1</f>
        <v>2030</v>
      </c>
    </row>
    <row r="48" spans="2:17">
      <c r="C48" s="15" t="s">
        <v>9</v>
      </c>
      <c r="D48" s="43"/>
      <c r="E48" s="43">
        <f>DATE(2025,8,28)-364</f>
        <v>45533</v>
      </c>
      <c r="F48" s="43">
        <f>D10</f>
        <v>45897</v>
      </c>
      <c r="G48" s="43">
        <f>DATE(2025,8,28)+364</f>
        <v>46261</v>
      </c>
      <c r="H48" s="43">
        <f>DATE(2026,8,27)+364</f>
        <v>46625</v>
      </c>
      <c r="I48" s="43">
        <f>DATE(2027,8,26)+371</f>
        <v>46996</v>
      </c>
      <c r="J48" s="43">
        <f>DATE(2028,8,31)+364</f>
        <v>47360</v>
      </c>
      <c r="K48" s="43">
        <f>DATE(2029,8,30)+364</f>
        <v>47724</v>
      </c>
    </row>
    <row r="49" spans="3:11">
      <c r="C49" s="1" t="s">
        <v>33</v>
      </c>
      <c r="D49" s="25"/>
      <c r="E49" s="25">
        <f>7041+1065+1046</f>
        <v>9152</v>
      </c>
      <c r="F49" s="25">
        <f>9642+665+1629</f>
        <v>11936</v>
      </c>
      <c r="G49" s="26">
        <f ca="1">F49+G101</f>
        <v>33791.274888095963</v>
      </c>
      <c r="H49" s="26">
        <f ca="1">G49+H101</f>
        <v>96882.192061750742</v>
      </c>
      <c r="I49" s="26">
        <f ca="1">H49+I101</f>
        <v>157309.67280625124</v>
      </c>
      <c r="J49" s="26">
        <f ca="1">I49+J101</f>
        <v>207129.83738495604</v>
      </c>
      <c r="K49" s="26">
        <f ca="1">J49+K101</f>
        <v>252416.9972401156</v>
      </c>
    </row>
    <row r="50" spans="3:11">
      <c r="C50" s="1" t="s">
        <v>34</v>
      </c>
      <c r="D50" s="25"/>
      <c r="E50" s="25">
        <v>6615</v>
      </c>
      <c r="F50" s="25">
        <v>9265</v>
      </c>
      <c r="G50" s="26">
        <f ca="1">F50*(1+G39)</f>
        <v>27576.446497661724</v>
      </c>
      <c r="H50" s="26">
        <f t="shared" ref="H50:K50" ca="1" si="27">G50*(1+H39)</f>
        <v>39378.773814356675</v>
      </c>
      <c r="I50" s="26">
        <f t="shared" ca="1" si="27"/>
        <v>39632.892347135916</v>
      </c>
      <c r="J50" s="26">
        <f t="shared" ca="1" si="27"/>
        <v>37155.836575439927</v>
      </c>
      <c r="K50" s="26">
        <f t="shared" ca="1" si="27"/>
        <v>40128.303501475122</v>
      </c>
    </row>
    <row r="51" spans="3:11">
      <c r="C51" s="1" t="s">
        <v>35</v>
      </c>
      <c r="D51" s="25"/>
      <c r="E51" s="25">
        <v>8875</v>
      </c>
      <c r="F51" s="25">
        <v>8355</v>
      </c>
      <c r="G51" s="26">
        <f ca="1">(F51)*(G19/F19)</f>
        <v>10325.625840559873</v>
      </c>
      <c r="H51" s="26">
        <f t="shared" ref="H51:K51" ca="1" si="28">(G51)*(H19/G19)</f>
        <v>11795.877601606466</v>
      </c>
      <c r="I51" s="26">
        <f t="shared" ca="1" si="28"/>
        <v>20775.997529144293</v>
      </c>
      <c r="J51" s="26">
        <f t="shared" ca="1" si="28"/>
        <v>25042.497021736428</v>
      </c>
      <c r="K51" s="26">
        <f t="shared" ca="1" si="28"/>
        <v>30050.996426083719</v>
      </c>
    </row>
    <row r="52" spans="3:11">
      <c r="C52" s="1" t="s">
        <v>36</v>
      </c>
      <c r="D52" s="25"/>
      <c r="E52" s="25">
        <v>776</v>
      </c>
      <c r="F52" s="25">
        <v>914</v>
      </c>
      <c r="G52" s="26">
        <f ca="1">F52*(1+G39)</f>
        <v>2720.4395141783934</v>
      </c>
      <c r="H52" s="26">
        <f t="shared" ref="H52:K52" ca="1" si="29">G52*(1+H39)</f>
        <v>3884.7489763974095</v>
      </c>
      <c r="I52" s="26">
        <f t="shared" ca="1" si="29"/>
        <v>3909.8179822215025</v>
      </c>
      <c r="J52" s="26">
        <f t="shared" ca="1" si="29"/>
        <v>3665.454358332659</v>
      </c>
      <c r="K52" s="26">
        <f t="shared" ca="1" si="29"/>
        <v>3958.6907069992722</v>
      </c>
    </row>
    <row r="53" spans="3:11">
      <c r="C53" s="1" t="s">
        <v>37</v>
      </c>
      <c r="D53" s="25"/>
      <c r="E53" s="25">
        <v>39749</v>
      </c>
      <c r="F53" s="25">
        <v>46590</v>
      </c>
      <c r="G53" s="26">
        <f>G110</f>
        <v>57716.229508196717</v>
      </c>
      <c r="H53" s="26">
        <f t="shared" ref="H53:K53" si="30">H110</f>
        <v>71321.778058007563</v>
      </c>
      <c r="I53" s="26">
        <f t="shared" si="30"/>
        <v>84439.054224464053</v>
      </c>
      <c r="J53" s="26">
        <f t="shared" si="30"/>
        <v>95556.330390920542</v>
      </c>
      <c r="K53" s="26">
        <f t="shared" si="30"/>
        <v>104673.60655737703</v>
      </c>
    </row>
    <row r="54" spans="3:11">
      <c r="C54" s="1" t="s">
        <v>127</v>
      </c>
      <c r="D54" s="25"/>
      <c r="E54" s="25">
        <v>645</v>
      </c>
      <c r="F54" s="25">
        <v>736</v>
      </c>
      <c r="G54" s="26">
        <f>$F$54</f>
        <v>736</v>
      </c>
      <c r="H54" s="26">
        <f t="shared" ref="H54:K55" si="31">G54</f>
        <v>736</v>
      </c>
      <c r="I54" s="26">
        <f t="shared" si="31"/>
        <v>736</v>
      </c>
      <c r="J54" s="26">
        <f t="shared" si="31"/>
        <v>736</v>
      </c>
      <c r="K54" s="26">
        <f t="shared" si="31"/>
        <v>736</v>
      </c>
    </row>
    <row r="55" spans="3:11">
      <c r="C55" s="1" t="s">
        <v>128</v>
      </c>
      <c r="D55" s="25"/>
      <c r="E55" s="25">
        <v>416</v>
      </c>
      <c r="F55" s="25">
        <v>453</v>
      </c>
      <c r="G55" s="26">
        <f>F55</f>
        <v>453</v>
      </c>
      <c r="H55" s="26">
        <f t="shared" si="31"/>
        <v>453</v>
      </c>
      <c r="I55" s="26">
        <f t="shared" si="31"/>
        <v>453</v>
      </c>
      <c r="J55" s="26">
        <f t="shared" si="31"/>
        <v>453</v>
      </c>
      <c r="K55" s="26">
        <f t="shared" si="31"/>
        <v>453</v>
      </c>
    </row>
    <row r="56" spans="3:11">
      <c r="C56" s="1" t="s">
        <v>129</v>
      </c>
      <c r="D56" s="25"/>
      <c r="E56" s="25">
        <v>520</v>
      </c>
      <c r="F56" s="25">
        <v>616</v>
      </c>
      <c r="G56" s="26">
        <f>F56</f>
        <v>616</v>
      </c>
      <c r="H56" s="26">
        <f t="shared" ref="H56:K56" si="32">G56</f>
        <v>616</v>
      </c>
      <c r="I56" s="26">
        <f t="shared" si="32"/>
        <v>616</v>
      </c>
      <c r="J56" s="26">
        <f t="shared" si="32"/>
        <v>616</v>
      </c>
      <c r="K56" s="26">
        <f t="shared" si="32"/>
        <v>616</v>
      </c>
    </row>
    <row r="57" spans="3:11">
      <c r="C57" s="1" t="s">
        <v>130</v>
      </c>
      <c r="D57" s="25"/>
      <c r="E57" s="25">
        <v>1150</v>
      </c>
      <c r="F57" s="25">
        <v>1150</v>
      </c>
      <c r="G57" s="26">
        <f>F57</f>
        <v>1150</v>
      </c>
      <c r="H57" s="26">
        <f t="shared" ref="H57:K57" si="33">G57</f>
        <v>1150</v>
      </c>
      <c r="I57" s="26">
        <f t="shared" si="33"/>
        <v>1150</v>
      </c>
      <c r="J57" s="26">
        <f t="shared" si="33"/>
        <v>1150</v>
      </c>
      <c r="K57" s="26">
        <f t="shared" si="33"/>
        <v>1150</v>
      </c>
    </row>
    <row r="58" spans="3:11">
      <c r="C58" s="1" t="s">
        <v>38</v>
      </c>
      <c r="D58" s="25"/>
      <c r="E58" s="25">
        <v>1518</v>
      </c>
      <c r="F58" s="25">
        <v>2783</v>
      </c>
      <c r="G58" s="26">
        <f ca="1">F58*(1+G39)</f>
        <v>8283.3513872630956</v>
      </c>
      <c r="H58" s="26">
        <f t="shared" ref="H58:K58" ca="1" si="34">G58*(1+H39)</f>
        <v>11828.508097717715</v>
      </c>
      <c r="I58" s="26">
        <f t="shared" ca="1" si="34"/>
        <v>11904.839654838559</v>
      </c>
      <c r="J58" s="26">
        <f t="shared" ca="1" si="34"/>
        <v>11160.78717641115</v>
      </c>
      <c r="K58" s="26">
        <f t="shared" ca="1" si="34"/>
        <v>12053.650150524043</v>
      </c>
    </row>
    <row r="59" spans="3:11">
      <c r="C59" s="32" t="s">
        <v>39</v>
      </c>
      <c r="D59" s="28"/>
      <c r="E59" s="28">
        <f>SUM(E49:E58)</f>
        <v>69416</v>
      </c>
      <c r="F59" s="28">
        <f>SUM(F49:F58)</f>
        <v>82798</v>
      </c>
      <c r="G59" s="28">
        <f ca="1">SUM(G49:G58)</f>
        <v>143368.36763595577</v>
      </c>
      <c r="H59" s="28">
        <f t="shared" ref="H59:K59" ca="1" si="35">SUM(H49:H58)</f>
        <v>238046.87860983657</v>
      </c>
      <c r="I59" s="28">
        <f t="shared" ca="1" si="35"/>
        <v>320927.27454405552</v>
      </c>
      <c r="J59" s="28">
        <f t="shared" ca="1" si="35"/>
        <v>382665.74290779675</v>
      </c>
      <c r="K59" s="28">
        <f t="shared" ca="1" si="35"/>
        <v>446237.24458257481</v>
      </c>
    </row>
    <row r="60" spans="3:11">
      <c r="C60" s="31"/>
      <c r="D60" s="30"/>
      <c r="E60" s="30"/>
      <c r="F60" s="30"/>
    </row>
    <row r="61" spans="3:11">
      <c r="C61" s="31" t="s">
        <v>40</v>
      </c>
      <c r="D61" s="25"/>
      <c r="E61" s="25">
        <v>7299</v>
      </c>
      <c r="F61" s="25">
        <v>9649</v>
      </c>
      <c r="G61" s="26">
        <f ca="1">F61*(G19/F19)</f>
        <v>11924.83108744012</v>
      </c>
      <c r="H61" s="26">
        <f t="shared" ref="H61:K61" ca="1" si="36">G61*(H19/G19)</f>
        <v>13622.791499449524</v>
      </c>
      <c r="I61" s="26">
        <f t="shared" ca="1" si="36"/>
        <v>23993.728325399556</v>
      </c>
      <c r="J61" s="26">
        <f t="shared" ca="1" si="36"/>
        <v>28921.011820794112</v>
      </c>
      <c r="K61" s="26">
        <f t="shared" ca="1" si="36"/>
        <v>34705.214184952943</v>
      </c>
    </row>
    <row r="62" spans="3:11">
      <c r="C62" s="31" t="s">
        <v>41</v>
      </c>
      <c r="D62" s="25"/>
      <c r="E62" s="25">
        <v>1518</v>
      </c>
      <c r="F62" s="25">
        <v>1245</v>
      </c>
      <c r="G62" s="26">
        <f ca="1">F62*(1+G39)</f>
        <v>3705.6315045427787</v>
      </c>
      <c r="H62" s="26">
        <f ca="1">G62*(1+H39)</f>
        <v>5291.5891418104757</v>
      </c>
      <c r="I62" s="26">
        <f ca="1">H62*(1+I39)</f>
        <v>5325.7367482120035</v>
      </c>
      <c r="J62" s="26">
        <f ca="1">I62*(1+J39)</f>
        <v>4992.8782014487542</v>
      </c>
      <c r="K62" s="26">
        <f ca="1">J62*(1+K39)</f>
        <v>5392.3084575646553</v>
      </c>
    </row>
    <row r="63" spans="3:11">
      <c r="C63" s="31" t="s">
        <v>42</v>
      </c>
      <c r="D63" s="25"/>
      <c r="E63" s="25">
        <v>431</v>
      </c>
      <c r="F63" s="25">
        <v>560</v>
      </c>
      <c r="G63" s="26">
        <f ca="1">G146</f>
        <v>50</v>
      </c>
      <c r="H63" s="26">
        <f t="shared" ref="H63:I63" ca="1" si="37">H146</f>
        <v>50</v>
      </c>
      <c r="I63" s="26">
        <f t="shared" ca="1" si="37"/>
        <v>50</v>
      </c>
      <c r="J63" s="26">
        <f ca="1">J146</f>
        <v>50</v>
      </c>
      <c r="K63" s="26">
        <f ca="1">K146</f>
        <v>50</v>
      </c>
    </row>
    <row r="64" spans="3:11">
      <c r="C64" s="31" t="s">
        <v>43</v>
      </c>
      <c r="D64" s="25"/>
      <c r="E64" s="25">
        <v>12966</v>
      </c>
      <c r="F64" s="25">
        <v>14017</v>
      </c>
      <c r="G64" s="26">
        <f>G163</f>
        <v>9017</v>
      </c>
      <c r="H64" s="26">
        <f t="shared" ref="H64:K64" si="38">H163</f>
        <v>7017</v>
      </c>
      <c r="I64" s="26">
        <f t="shared" si="38"/>
        <v>5017</v>
      </c>
      <c r="J64" s="26">
        <f t="shared" si="38"/>
        <v>3017</v>
      </c>
      <c r="K64" s="26">
        <f t="shared" si="38"/>
        <v>1017</v>
      </c>
    </row>
    <row r="65" spans="2:11">
      <c r="C65" s="31" t="s">
        <v>132</v>
      </c>
      <c r="D65" s="25"/>
      <c r="E65" s="25">
        <v>610</v>
      </c>
      <c r="F65" s="25">
        <v>701</v>
      </c>
      <c r="G65" s="26">
        <f>F65</f>
        <v>701</v>
      </c>
      <c r="H65" s="26">
        <f t="shared" ref="H65:K65" si="39">G65</f>
        <v>701</v>
      </c>
      <c r="I65" s="26">
        <f t="shared" si="39"/>
        <v>701</v>
      </c>
      <c r="J65" s="26">
        <f t="shared" si="39"/>
        <v>701</v>
      </c>
      <c r="K65" s="26">
        <f t="shared" si="39"/>
        <v>701</v>
      </c>
    </row>
    <row r="66" spans="2:11">
      <c r="C66" s="31" t="s">
        <v>131</v>
      </c>
      <c r="D66" s="25"/>
      <c r="E66" s="25">
        <v>550</v>
      </c>
      <c r="F66" s="25">
        <v>1018</v>
      </c>
      <c r="G66" s="26">
        <f>F66</f>
        <v>1018</v>
      </c>
      <c r="H66" s="26">
        <f t="shared" ref="H66:K66" si="40">G66</f>
        <v>1018</v>
      </c>
      <c r="I66" s="26">
        <f t="shared" si="40"/>
        <v>1018</v>
      </c>
      <c r="J66" s="26">
        <f t="shared" si="40"/>
        <v>1018</v>
      </c>
      <c r="K66" s="26">
        <f t="shared" si="40"/>
        <v>1018</v>
      </c>
    </row>
    <row r="67" spans="2:11">
      <c r="C67" s="31" t="s">
        <v>44</v>
      </c>
      <c r="D67" s="25"/>
      <c r="E67" s="25">
        <v>911</v>
      </c>
      <c r="F67" s="25">
        <v>1443</v>
      </c>
      <c r="G67" s="26">
        <f ca="1">F67*(1+G39)</f>
        <v>4294.9608522531962</v>
      </c>
      <c r="H67" s="26">
        <f ca="1">G67*(1+H39)</f>
        <v>6133.1430776164789</v>
      </c>
      <c r="I67" s="26">
        <f ca="1">H67*(1+I39)</f>
        <v>6172.7213876866826</v>
      </c>
      <c r="J67" s="26">
        <f ca="1">I67*(1+J39)</f>
        <v>5786.9263009562655</v>
      </c>
      <c r="K67" s="26">
        <f ca="1">J67*(1+K39)</f>
        <v>6249.8804050327672</v>
      </c>
    </row>
    <row r="68" spans="2:11">
      <c r="C68" s="32" t="s">
        <v>45</v>
      </c>
      <c r="D68" s="28"/>
      <c r="E68" s="28">
        <f t="shared" ref="E68:K68" si="41">SUM(E61:E67)</f>
        <v>24285</v>
      </c>
      <c r="F68" s="28">
        <f t="shared" si="41"/>
        <v>28633</v>
      </c>
      <c r="G68" s="28">
        <f t="shared" ca="1" si="41"/>
        <v>30711.423444236094</v>
      </c>
      <c r="H68" s="28">
        <f t="shared" ca="1" si="41"/>
        <v>33833.52371887648</v>
      </c>
      <c r="I68" s="28">
        <f t="shared" ca="1" si="41"/>
        <v>42278.186461298239</v>
      </c>
      <c r="J68" s="28">
        <f t="shared" ca="1" si="41"/>
        <v>44486.816323199128</v>
      </c>
      <c r="K68" s="28">
        <f t="shared" ca="1" si="41"/>
        <v>49133.403047550368</v>
      </c>
    </row>
    <row r="69" spans="2:11">
      <c r="C69" s="32"/>
      <c r="D69" s="28"/>
      <c r="E69" s="28"/>
      <c r="F69" s="28"/>
    </row>
    <row r="70" spans="2:11">
      <c r="C70" s="31" t="s">
        <v>46</v>
      </c>
      <c r="D70" s="25"/>
      <c r="E70" s="25">
        <v>125</v>
      </c>
      <c r="F70" s="25">
        <v>127</v>
      </c>
      <c r="G70" s="26">
        <f>F70</f>
        <v>127</v>
      </c>
      <c r="H70" s="26">
        <f t="shared" ref="H70:K70" si="42">G70</f>
        <v>127</v>
      </c>
      <c r="I70" s="26">
        <f t="shared" si="42"/>
        <v>127</v>
      </c>
      <c r="J70" s="26">
        <f t="shared" si="42"/>
        <v>127</v>
      </c>
      <c r="K70" s="26">
        <f t="shared" si="42"/>
        <v>127</v>
      </c>
    </row>
    <row r="71" spans="2:11">
      <c r="C71" s="31" t="s">
        <v>135</v>
      </c>
      <c r="D71" s="25"/>
      <c r="E71" s="25">
        <v>12115</v>
      </c>
      <c r="F71" s="25">
        <v>13339</v>
      </c>
      <c r="G71" s="26">
        <f>F71+G35</f>
        <v>14408.2</v>
      </c>
      <c r="H71" s="26">
        <f t="shared" ref="H71:K71" si="43">G71+H35</f>
        <v>15584.320000000002</v>
      </c>
      <c r="I71" s="26">
        <f t="shared" si="43"/>
        <v>16878.052000000003</v>
      </c>
      <c r="J71" s="26">
        <f t="shared" si="43"/>
        <v>18301.157200000005</v>
      </c>
      <c r="K71" s="26">
        <f t="shared" si="43"/>
        <v>19866.572920000006</v>
      </c>
    </row>
    <row r="72" spans="2:11">
      <c r="C72" s="31" t="s">
        <v>47</v>
      </c>
      <c r="D72" s="26"/>
      <c r="E72" s="25">
        <v>40877</v>
      </c>
      <c r="F72" s="25">
        <v>48583</v>
      </c>
      <c r="G72" s="26">
        <f ca="1">G130</f>
        <v>106005.74419171966</v>
      </c>
      <c r="H72" s="26">
        <f t="shared" ref="H72:K72" ca="1" si="44">H130</f>
        <v>196386.03489096009</v>
      </c>
      <c r="I72" s="26">
        <f t="shared" ca="1" si="44"/>
        <v>269528.03608249768</v>
      </c>
      <c r="J72" s="26">
        <f t="shared" ca="1" si="44"/>
        <v>327634.76938129828</v>
      </c>
      <c r="K72" s="26">
        <f t="shared" ca="1" si="44"/>
        <v>384994.26857848687</v>
      </c>
    </row>
    <row r="73" spans="2:11">
      <c r="C73" s="31" t="s">
        <v>136</v>
      </c>
      <c r="D73" s="26"/>
      <c r="E73" s="25">
        <v>-7852</v>
      </c>
      <c r="F73" s="25">
        <v>-7852</v>
      </c>
      <c r="G73" s="26">
        <v>-7852</v>
      </c>
      <c r="H73" s="26">
        <v>-7852</v>
      </c>
      <c r="I73" s="26">
        <v>-7852</v>
      </c>
      <c r="J73" s="26">
        <v>-7852</v>
      </c>
      <c r="K73" s="26">
        <v>-7852</v>
      </c>
    </row>
    <row r="74" spans="2:11">
      <c r="C74" s="31" t="s">
        <v>48</v>
      </c>
      <c r="D74" s="25"/>
      <c r="E74" s="25">
        <v>-134</v>
      </c>
      <c r="F74" s="25">
        <v>-32</v>
      </c>
      <c r="G74" s="26">
        <f>F74</f>
        <v>-32</v>
      </c>
      <c r="H74" s="26">
        <f t="shared" ref="H74:K74" si="45">G74</f>
        <v>-32</v>
      </c>
      <c r="I74" s="26">
        <f t="shared" si="45"/>
        <v>-32</v>
      </c>
      <c r="J74" s="26">
        <f t="shared" si="45"/>
        <v>-32</v>
      </c>
      <c r="K74" s="26">
        <f t="shared" si="45"/>
        <v>-32</v>
      </c>
    </row>
    <row r="75" spans="2:11">
      <c r="C75" s="32" t="s">
        <v>49</v>
      </c>
      <c r="D75" s="44"/>
      <c r="E75" s="45">
        <f t="shared" ref="E75:K75" si="46">SUM(E70:E74)</f>
        <v>45131</v>
      </c>
      <c r="F75" s="45">
        <f t="shared" si="46"/>
        <v>54165</v>
      </c>
      <c r="G75" s="45">
        <f t="shared" ca="1" si="46"/>
        <v>112656.94419171965</v>
      </c>
      <c r="H75" s="45">
        <f t="shared" ca="1" si="46"/>
        <v>204213.35489096009</v>
      </c>
      <c r="I75" s="45">
        <f t="shared" ca="1" si="46"/>
        <v>278649.08808249771</v>
      </c>
      <c r="J75" s="45">
        <f t="shared" ca="1" si="46"/>
        <v>338178.92658129829</v>
      </c>
      <c r="K75" s="45">
        <f t="shared" ca="1" si="46"/>
        <v>397103.84149848687</v>
      </c>
    </row>
    <row r="76" spans="2:11">
      <c r="D76" s="30"/>
      <c r="E76" s="30"/>
      <c r="F76" s="30"/>
    </row>
    <row r="77" spans="2:11">
      <c r="C77" s="20" t="s">
        <v>50</v>
      </c>
      <c r="D77" s="46"/>
      <c r="E77" s="46">
        <f t="shared" ref="E77:K77" si="47">E59-E68-E75</f>
        <v>0</v>
      </c>
      <c r="F77" s="46">
        <f t="shared" si="47"/>
        <v>0</v>
      </c>
      <c r="G77" s="46">
        <f t="shared" ca="1" si="47"/>
        <v>0</v>
      </c>
      <c r="H77" s="46">
        <f t="shared" ca="1" si="47"/>
        <v>0</v>
      </c>
      <c r="I77" s="46">
        <f t="shared" ca="1" si="47"/>
        <v>2.5954796001315117E-7</v>
      </c>
      <c r="J77" s="46">
        <f t="shared" ca="1" si="47"/>
        <v>3.2993266358971596E-6</v>
      </c>
      <c r="K77" s="46">
        <f t="shared" ca="1" si="47"/>
        <v>3.653758903965354E-5</v>
      </c>
    </row>
    <row r="78" spans="2:11">
      <c r="E78" s="30"/>
      <c r="F78" s="30"/>
      <c r="H78" s="30"/>
      <c r="I78" s="30"/>
      <c r="J78" s="30"/>
      <c r="K78" s="30"/>
    </row>
    <row r="79" spans="2:11">
      <c r="B79" s="1" t="s">
        <v>125</v>
      </c>
      <c r="C79" s="14" t="s">
        <v>51</v>
      </c>
      <c r="D79" s="39"/>
      <c r="E79" s="39"/>
      <c r="F79" s="39"/>
      <c r="G79" s="39"/>
      <c r="H79" s="39"/>
      <c r="I79" s="39"/>
      <c r="J79" s="39"/>
      <c r="K79" s="39"/>
    </row>
    <row r="80" spans="2:11">
      <c r="C80" s="40" t="s">
        <v>8</v>
      </c>
      <c r="D80" s="41"/>
      <c r="E80" s="41"/>
      <c r="F80" s="41"/>
      <c r="G80" s="42">
        <v>2026</v>
      </c>
      <c r="H80" s="42">
        <f>G80+1</f>
        <v>2027</v>
      </c>
      <c r="I80" s="42">
        <f>H80+1</f>
        <v>2028</v>
      </c>
      <c r="J80" s="42">
        <f>I80+1</f>
        <v>2029</v>
      </c>
      <c r="K80" s="42">
        <f>J80+1</f>
        <v>2030</v>
      </c>
    </row>
    <row r="81" spans="3:11">
      <c r="C81" s="15" t="s">
        <v>9</v>
      </c>
      <c r="D81" s="43"/>
      <c r="E81" s="43"/>
      <c r="F81" s="43"/>
      <c r="G81" s="43">
        <f>DATE(2025,8,28)+364</f>
        <v>46261</v>
      </c>
      <c r="H81" s="43">
        <f>DATE(2026,8,27)+364</f>
        <v>46625</v>
      </c>
      <c r="I81" s="43">
        <f>DATE(2027,8,26)+371</f>
        <v>46996</v>
      </c>
      <c r="J81" s="43">
        <f>DATE(2028,8,31)+364</f>
        <v>47360</v>
      </c>
      <c r="K81" s="43">
        <f>DATE(2029,8,30)+364</f>
        <v>47724</v>
      </c>
    </row>
    <row r="83" spans="3:11">
      <c r="C83" s="1" t="s">
        <v>21</v>
      </c>
      <c r="D83" s="47"/>
      <c r="E83" s="47"/>
      <c r="F83" s="47"/>
      <c r="G83" s="26">
        <f ca="1">G31</f>
        <v>59307.844191723998</v>
      </c>
      <c r="H83" s="26">
        <f ca="1">H31</f>
        <v>92265.390699299867</v>
      </c>
      <c r="I83" s="26">
        <f ca="1">I31</f>
        <v>75027.101192202841</v>
      </c>
      <c r="J83" s="26">
        <f ca="1">J31</f>
        <v>59991.833303696309</v>
      </c>
      <c r="K83" s="26">
        <f ca="1">K31</f>
        <v>59244.599236895148</v>
      </c>
    </row>
    <row r="84" spans="3:11">
      <c r="C84" s="1" t="s">
        <v>52</v>
      </c>
      <c r="D84" s="47"/>
      <c r="E84" s="47"/>
      <c r="F84" s="47"/>
      <c r="G84" s="26">
        <f ca="1">G33</f>
        <v>15040.64891876328</v>
      </c>
      <c r="H84" s="26">
        <f t="shared" ref="H84:K84" ca="1" si="48">H33</f>
        <v>22612.893137776358</v>
      </c>
      <c r="I84" s="26">
        <f t="shared" ca="1" si="48"/>
        <v>27082.588681108438</v>
      </c>
      <c r="J84" s="26">
        <f t="shared" ca="1" si="48"/>
        <v>29051.359798676418</v>
      </c>
      <c r="K84" s="26">
        <f t="shared" ca="1" si="48"/>
        <v>31044.614360071104</v>
      </c>
    </row>
    <row r="85" spans="3:11">
      <c r="C85" s="1" t="s">
        <v>24</v>
      </c>
      <c r="D85" s="47"/>
      <c r="E85" s="47"/>
      <c r="F85" s="47"/>
      <c r="G85" s="26">
        <f>G35</f>
        <v>1069.2</v>
      </c>
      <c r="H85" s="26">
        <f>H35</f>
        <v>1176.1200000000001</v>
      </c>
      <c r="I85" s="26">
        <f>I35</f>
        <v>1293.7320000000002</v>
      </c>
      <c r="J85" s="26">
        <f>J35</f>
        <v>1423.1052000000004</v>
      </c>
      <c r="K85" s="26">
        <f>K35</f>
        <v>1565.4157200000006</v>
      </c>
    </row>
    <row r="86" spans="3:11">
      <c r="C86" s="1" t="s">
        <v>53</v>
      </c>
      <c r="D86" s="30"/>
      <c r="E86" s="30"/>
      <c r="F86" s="30"/>
      <c r="G86" s="26">
        <f ca="1">SUM(F50:F52)-SUM(G50:G52)</f>
        <v>-22088.511852399984</v>
      </c>
      <c r="H86" s="26">
        <f ca="1">SUM(G50:G52)-SUM(H50:H52)</f>
        <v>-14436.888539960564</v>
      </c>
      <c r="I86" s="26">
        <f ca="1">SUM(H50:H52)-SUM(I50:I52)</f>
        <v>-9259.3074661411665</v>
      </c>
      <c r="J86" s="26">
        <f ca="1">SUM(I50:I52)-SUM(J50:J52)</f>
        <v>-1545.0800970073033</v>
      </c>
      <c r="K86" s="26">
        <f ca="1">SUM(J50:J52)-SUM(K50:K52)</f>
        <v>-8274.2026790490927</v>
      </c>
    </row>
    <row r="87" spans="3:11">
      <c r="C87" s="1" t="s">
        <v>54</v>
      </c>
      <c r="D87" s="30"/>
      <c r="E87" s="30"/>
      <c r="F87" s="30"/>
      <c r="G87" s="26">
        <f ca="1">SUM(G61:G62)-SUM(F61:F62)</f>
        <v>4736.4625919828977</v>
      </c>
      <c r="H87" s="26">
        <f ca="1">SUM(H61:H62)-SUM(G61:G62)</f>
        <v>3283.9180492771011</v>
      </c>
      <c r="I87" s="26">
        <f ca="1">SUM(I61:I62)-SUM(H61:H62)</f>
        <v>10405.084432351559</v>
      </c>
      <c r="J87" s="26">
        <f ca="1">SUM(J61:J62)-SUM(I61:I62)</f>
        <v>4594.4249486313056</v>
      </c>
      <c r="K87" s="26">
        <f ca="1">SUM(K61:K62)-SUM(J61:J62)</f>
        <v>6183.6326202747368</v>
      </c>
    </row>
    <row r="88" spans="3:11">
      <c r="C88" s="1" t="s">
        <v>38</v>
      </c>
      <c r="G88" s="26">
        <f ca="1">-G122</f>
        <v>-5667.2298142230957</v>
      </c>
      <c r="H88" s="26">
        <f t="shared" ref="H88:K88" ca="1" si="49">-H122</f>
        <v>-3763.5983980418191</v>
      </c>
      <c r="I88" s="26">
        <f t="shared" ca="1" si="49"/>
        <v>-276.19640468577199</v>
      </c>
      <c r="J88" s="26">
        <f t="shared" ca="1" si="49"/>
        <v>575.41651329450144</v>
      </c>
      <c r="K88" s="26">
        <f t="shared" ca="1" si="49"/>
        <v>-1054.7535006404851</v>
      </c>
    </row>
    <row r="89" spans="3:11">
      <c r="C89" s="1" t="s">
        <v>44</v>
      </c>
      <c r="G89" s="26">
        <f ca="1">G67-F67</f>
        <v>2851.9608522531962</v>
      </c>
      <c r="H89" s="26">
        <f ca="1">H67-G67</f>
        <v>1838.1822253632827</v>
      </c>
      <c r="I89" s="26">
        <f ca="1">I67-H67</f>
        <v>39.57831007020377</v>
      </c>
      <c r="J89" s="26">
        <f ca="1">J67-I67</f>
        <v>-385.7950867304171</v>
      </c>
      <c r="K89" s="26">
        <f ca="1">K67-J67</f>
        <v>462.95410407650161</v>
      </c>
    </row>
    <row r="90" spans="3:11">
      <c r="C90" s="27" t="s">
        <v>55</v>
      </c>
      <c r="G90" s="44">
        <f ca="1">SUM(G83:G89)</f>
        <v>55250.374888100298</v>
      </c>
      <c r="H90" s="44">
        <f t="shared" ref="H90:K90" ca="1" si="50">SUM(H83:H89)</f>
        <v>102976.01717371421</v>
      </c>
      <c r="I90" s="44">
        <f t="shared" ca="1" si="50"/>
        <v>104312.58074490611</v>
      </c>
      <c r="J90" s="44">
        <f t="shared" ca="1" si="50"/>
        <v>93705.264580560819</v>
      </c>
      <c r="K90" s="44">
        <f t="shared" ca="1" si="50"/>
        <v>89172.259861627928</v>
      </c>
    </row>
    <row r="92" spans="3:11">
      <c r="C92" s="1" t="s">
        <v>56</v>
      </c>
      <c r="G92" s="26">
        <f>-G108</f>
        <v>-26000</v>
      </c>
      <c r="H92" s="26">
        <f t="shared" ref="H92:K92" si="51">-H108</f>
        <v>-36000</v>
      </c>
      <c r="I92" s="26">
        <f t="shared" si="51"/>
        <v>-40000</v>
      </c>
      <c r="J92" s="26">
        <f t="shared" si="51"/>
        <v>-40000</v>
      </c>
      <c r="K92" s="26">
        <f t="shared" si="51"/>
        <v>-40000</v>
      </c>
    </row>
    <row r="93" spans="3:11">
      <c r="C93" s="27" t="s">
        <v>57</v>
      </c>
      <c r="G93" s="28">
        <f>G92</f>
        <v>-26000</v>
      </c>
      <c r="H93" s="28">
        <f t="shared" ref="H93:K93" si="52">H92</f>
        <v>-36000</v>
      </c>
      <c r="I93" s="28">
        <f t="shared" si="52"/>
        <v>-40000</v>
      </c>
      <c r="J93" s="28">
        <f t="shared" si="52"/>
        <v>-40000</v>
      </c>
      <c r="K93" s="28">
        <f t="shared" si="52"/>
        <v>-40000</v>
      </c>
    </row>
    <row r="95" spans="3:11">
      <c r="C95" s="1" t="s">
        <v>58</v>
      </c>
      <c r="G95" s="26">
        <f>G64-F64</f>
        <v>-5000</v>
      </c>
      <c r="H95" s="26">
        <f>H64-G64</f>
        <v>-2000</v>
      </c>
      <c r="I95" s="26">
        <f>I64-H64</f>
        <v>-2000</v>
      </c>
      <c r="J95" s="26">
        <f>J64-I64</f>
        <v>-2000</v>
      </c>
      <c r="K95" s="26">
        <f>K64-J64</f>
        <v>-2000</v>
      </c>
    </row>
    <row r="96" spans="3:11">
      <c r="C96" s="1" t="s">
        <v>59</v>
      </c>
      <c r="G96" s="26">
        <f ca="1">G63-F63</f>
        <v>-510</v>
      </c>
      <c r="H96" s="26">
        <f ca="1">H63-G63</f>
        <v>0</v>
      </c>
      <c r="I96" s="26">
        <f ca="1">I63-H63</f>
        <v>0</v>
      </c>
      <c r="J96" s="26">
        <f ca="1">J63-I63</f>
        <v>0</v>
      </c>
      <c r="K96" s="26">
        <f ca="1">K63-J63</f>
        <v>0</v>
      </c>
    </row>
    <row r="97" spans="2:12">
      <c r="C97" s="1" t="s">
        <v>60</v>
      </c>
      <c r="G97" s="26">
        <f>G129</f>
        <v>-1200</v>
      </c>
      <c r="H97" s="26">
        <f t="shared" ref="H97:K97" si="53">H129</f>
        <v>-1200</v>
      </c>
      <c r="I97" s="26">
        <f t="shared" si="53"/>
        <v>-1200</v>
      </c>
      <c r="J97" s="26">
        <f t="shared" si="53"/>
        <v>-1200</v>
      </c>
      <c r="K97" s="26">
        <f t="shared" si="53"/>
        <v>-1200</v>
      </c>
    </row>
    <row r="98" spans="2:12">
      <c r="C98" s="1" t="s">
        <v>61</v>
      </c>
      <c r="G98" s="26">
        <f>G128</f>
        <v>-685.1</v>
      </c>
      <c r="H98" s="26">
        <f t="shared" ref="H98:K98" si="54">H128</f>
        <v>-685.1</v>
      </c>
      <c r="I98" s="26">
        <f t="shared" si="54"/>
        <v>-685.1</v>
      </c>
      <c r="J98" s="26">
        <f t="shared" si="54"/>
        <v>-685.1</v>
      </c>
      <c r="K98" s="26">
        <f t="shared" si="54"/>
        <v>-685.1</v>
      </c>
    </row>
    <row r="99" spans="2:12">
      <c r="C99" s="27" t="s">
        <v>62</v>
      </c>
      <c r="G99" s="44">
        <f ca="1">SUM(G95:G98)</f>
        <v>-7395.1</v>
      </c>
      <c r="H99" s="44">
        <f t="shared" ref="H99:K99" ca="1" si="55">SUM(H95:H98)</f>
        <v>-3885.1</v>
      </c>
      <c r="I99" s="44">
        <f t="shared" ca="1" si="55"/>
        <v>-3885.1</v>
      </c>
      <c r="J99" s="44">
        <f t="shared" ca="1" si="55"/>
        <v>-3885.1</v>
      </c>
      <c r="K99" s="44">
        <f t="shared" ca="1" si="55"/>
        <v>-3885.1</v>
      </c>
    </row>
    <row r="101" spans="2:12">
      <c r="C101" s="27" t="s">
        <v>63</v>
      </c>
      <c r="G101" s="44">
        <f ca="1">G99+G90+G93</f>
        <v>21855.274888100299</v>
      </c>
      <c r="H101" s="44">
        <f t="shared" ref="H101:K101" ca="1" si="56">H99+H90+H93</f>
        <v>63090.917173714202</v>
      </c>
      <c r="I101" s="44">
        <f t="shared" ca="1" si="56"/>
        <v>60427.480744906105</v>
      </c>
      <c r="J101" s="44">
        <f t="shared" ca="1" si="56"/>
        <v>49820.164580560813</v>
      </c>
      <c r="K101" s="44">
        <f t="shared" ca="1" si="56"/>
        <v>45287.159861627923</v>
      </c>
    </row>
    <row r="103" spans="2:12">
      <c r="B103" s="1" t="s">
        <v>125</v>
      </c>
      <c r="C103" s="14" t="s">
        <v>64</v>
      </c>
      <c r="D103" s="15"/>
      <c r="E103" s="15"/>
      <c r="F103" s="15"/>
      <c r="G103" s="15"/>
      <c r="H103" s="15"/>
      <c r="I103" s="15"/>
      <c r="J103" s="15"/>
      <c r="K103" s="15"/>
    </row>
    <row r="104" spans="2:12">
      <c r="C104" s="40" t="s">
        <v>8</v>
      </c>
      <c r="D104" s="41">
        <f>E104-1</f>
        <v>2023</v>
      </c>
      <c r="E104" s="41">
        <f>F104-1</f>
        <v>2024</v>
      </c>
      <c r="F104" s="41">
        <v>2025</v>
      </c>
      <c r="G104" s="42">
        <v>2026</v>
      </c>
      <c r="H104" s="42">
        <f>G104+1</f>
        <v>2027</v>
      </c>
      <c r="I104" s="42">
        <f>H104+1</f>
        <v>2028</v>
      </c>
      <c r="J104" s="42">
        <f>I104+1</f>
        <v>2029</v>
      </c>
      <c r="K104" s="42">
        <f>J104+1</f>
        <v>2030</v>
      </c>
    </row>
    <row r="105" spans="2:12">
      <c r="C105" s="15" t="s">
        <v>9</v>
      </c>
      <c r="D105" s="43">
        <f>DATE(2024,8,29)-364</f>
        <v>45169</v>
      </c>
      <c r="E105" s="43">
        <f>DATE(2025,8,28)-364</f>
        <v>45533</v>
      </c>
      <c r="F105" s="43">
        <f>D10</f>
        <v>45897</v>
      </c>
      <c r="G105" s="43">
        <f>DATE(2025,8,28)+364</f>
        <v>46261</v>
      </c>
      <c r="H105" s="43">
        <f>DATE(2026,8,27)+364</f>
        <v>46625</v>
      </c>
      <c r="I105" s="43">
        <f>DATE(2027,8,26)+371</f>
        <v>46996</v>
      </c>
      <c r="J105" s="43">
        <f>DATE(2028,8,31)+364</f>
        <v>47360</v>
      </c>
      <c r="K105" s="43">
        <f>DATE(2029,8,30)+364</f>
        <v>47724</v>
      </c>
    </row>
    <row r="106" spans="2:12">
      <c r="C106" s="27"/>
      <c r="G106" s="48"/>
      <c r="H106" s="48"/>
      <c r="I106" s="48"/>
      <c r="J106" s="48"/>
      <c r="K106" s="48"/>
    </row>
    <row r="107" spans="2:12">
      <c r="C107" s="31" t="s">
        <v>65</v>
      </c>
      <c r="G107" s="30">
        <f>F110</f>
        <v>46590</v>
      </c>
      <c r="H107" s="30">
        <f>G110</f>
        <v>57716.229508196717</v>
      </c>
      <c r="I107" s="30">
        <f t="shared" ref="I107:K107" si="57">H110</f>
        <v>71321.778058007563</v>
      </c>
      <c r="J107" s="30">
        <f t="shared" si="57"/>
        <v>84439.054224464053</v>
      </c>
      <c r="K107" s="30">
        <f t="shared" si="57"/>
        <v>95556.330390920542</v>
      </c>
    </row>
    <row r="108" spans="2:12">
      <c r="C108" s="49" t="s">
        <v>66</v>
      </c>
      <c r="D108" s="25">
        <v>7680</v>
      </c>
      <c r="E108" s="25">
        <v>8390</v>
      </c>
      <c r="F108" s="25">
        <v>15860</v>
      </c>
      <c r="G108" s="25">
        <v>26000</v>
      </c>
      <c r="H108" s="25">
        <v>36000</v>
      </c>
      <c r="I108" s="25">
        <v>40000</v>
      </c>
      <c r="J108" s="25">
        <v>40000</v>
      </c>
      <c r="K108" s="25">
        <v>40000</v>
      </c>
    </row>
    <row r="109" spans="2:12">
      <c r="C109" s="50" t="s">
        <v>67</v>
      </c>
      <c r="D109" s="51">
        <v>-7670</v>
      </c>
      <c r="E109" s="51">
        <v>-7700</v>
      </c>
      <c r="F109" s="51">
        <v>-8280</v>
      </c>
      <c r="G109" s="52">
        <f>-(G108*G112)</f>
        <v>-14873.77049180328</v>
      </c>
      <c r="H109" s="52">
        <f t="shared" ref="H109:J109" si="58">-(H108*H112)</f>
        <v>-22394.451450189157</v>
      </c>
      <c r="I109" s="52">
        <f t="shared" si="58"/>
        <v>-26882.72383354351</v>
      </c>
      <c r="J109" s="52">
        <f t="shared" si="58"/>
        <v>-28882.72383354351</v>
      </c>
      <c r="K109" s="52">
        <f>-(K108*K112)</f>
        <v>-30882.723833543514</v>
      </c>
    </row>
    <row r="110" spans="2:12">
      <c r="C110" s="53" t="s">
        <v>68</v>
      </c>
      <c r="D110" s="44"/>
      <c r="E110" s="44">
        <f>E53</f>
        <v>39749</v>
      </c>
      <c r="F110" s="44">
        <f>F53</f>
        <v>46590</v>
      </c>
      <c r="G110" s="44">
        <f>SUM(G107:G109)</f>
        <v>57716.229508196717</v>
      </c>
      <c r="H110" s="44">
        <f t="shared" ref="H110:K110" si="59">SUM(H107:H109)</f>
        <v>71321.778058007563</v>
      </c>
      <c r="I110" s="44">
        <f t="shared" si="59"/>
        <v>84439.054224464053</v>
      </c>
      <c r="J110" s="44">
        <f t="shared" si="59"/>
        <v>95556.330390920542</v>
      </c>
      <c r="K110" s="44">
        <f t="shared" si="59"/>
        <v>104673.60655737703</v>
      </c>
    </row>
    <row r="111" spans="2:12">
      <c r="C111" s="31"/>
      <c r="L111" s="125" t="s">
        <v>69</v>
      </c>
    </row>
    <row r="112" spans="2:12">
      <c r="C112" s="31" t="s">
        <v>70</v>
      </c>
      <c r="D112" s="54">
        <f>-(D109/D108)</f>
        <v>0.99869791666666663</v>
      </c>
      <c r="E112" s="54">
        <f>-(E109/E108)</f>
        <v>0.91775923718712749</v>
      </c>
      <c r="F112" s="54">
        <f>-(F109/F108)</f>
        <v>0.5220680958385876</v>
      </c>
      <c r="G112" s="54">
        <f>F112+$L$112</f>
        <v>0.57206809583858764</v>
      </c>
      <c r="H112" s="54">
        <f t="shared" ref="H112:K112" si="60">G112+$L$112</f>
        <v>0.62206809583858769</v>
      </c>
      <c r="I112" s="54">
        <f t="shared" si="60"/>
        <v>0.67206809583858773</v>
      </c>
      <c r="J112" s="54">
        <f t="shared" si="60"/>
        <v>0.72206809583858778</v>
      </c>
      <c r="K112" s="54">
        <f t="shared" si="60"/>
        <v>0.77206809583858782</v>
      </c>
      <c r="L112" s="55">
        <v>0.05</v>
      </c>
    </row>
    <row r="113" spans="2:16">
      <c r="C113" s="31"/>
      <c r="D113" s="54"/>
      <c r="E113" s="54"/>
      <c r="F113" s="54"/>
      <c r="G113" s="34"/>
      <c r="H113" s="34"/>
      <c r="I113" s="34"/>
      <c r="J113" s="34"/>
      <c r="K113" s="34"/>
      <c r="N113" s="56"/>
      <c r="O113" s="56"/>
      <c r="P113" s="56"/>
    </row>
    <row r="114" spans="2:16">
      <c r="B114" s="1" t="s">
        <v>125</v>
      </c>
      <c r="C114" s="57" t="s">
        <v>71</v>
      </c>
      <c r="D114" s="58"/>
      <c r="E114" s="58"/>
      <c r="F114" s="58"/>
      <c r="G114" s="59"/>
      <c r="H114" s="59"/>
      <c r="I114" s="59"/>
      <c r="J114" s="59"/>
      <c r="K114" s="59"/>
      <c r="N114" s="56"/>
      <c r="O114" s="56"/>
      <c r="P114" s="56"/>
    </row>
    <row r="115" spans="2:16">
      <c r="C115" s="31" t="s">
        <v>72</v>
      </c>
      <c r="D115" s="30">
        <f>D117+D109</f>
        <v>86</v>
      </c>
      <c r="E115" s="30">
        <f t="shared" ref="E115:F115" si="61">E117+E109</f>
        <v>80</v>
      </c>
      <c r="F115" s="30">
        <f t="shared" si="61"/>
        <v>72</v>
      </c>
      <c r="G115" s="26">
        <f ca="1">G116*G18</f>
        <v>166.87842695999998</v>
      </c>
      <c r="H115" s="26">
        <f ca="1">H116*H18</f>
        <v>218.44168758719994</v>
      </c>
      <c r="I115" s="26">
        <f ca="1">I116*I18</f>
        <v>199.86484756492791</v>
      </c>
      <c r="J115" s="26">
        <f ca="1">J116*J18</f>
        <v>168.63596513290793</v>
      </c>
      <c r="K115" s="26">
        <f ca="1">K116*K18</f>
        <v>161.89052652759159</v>
      </c>
      <c r="L115" s="125" t="s">
        <v>69</v>
      </c>
      <c r="N115" s="56"/>
      <c r="O115" s="56"/>
      <c r="P115" s="56"/>
    </row>
    <row r="116" spans="2:16">
      <c r="C116" s="29" t="s">
        <v>73</v>
      </c>
      <c r="D116" s="60">
        <f>D115/D18</f>
        <v>5.5341055341055342E-3</v>
      </c>
      <c r="E116" s="60">
        <f>E115/E18</f>
        <v>3.1858548046672774E-3</v>
      </c>
      <c r="F116" s="60">
        <f>F115/F18</f>
        <v>1.9262667879501312E-3</v>
      </c>
      <c r="G116" s="34">
        <v>1.5E-3</v>
      </c>
      <c r="H116" s="34">
        <f>G116-$L$116</f>
        <v>1.3749999999999999E-3</v>
      </c>
      <c r="I116" s="34">
        <f>H116-$L$116</f>
        <v>1.2499999999999998E-3</v>
      </c>
      <c r="J116" s="34">
        <f>I116-$L$116</f>
        <v>1.1249999999999997E-3</v>
      </c>
      <c r="K116" s="34">
        <f>J116-$L$116</f>
        <v>9.9999999999999959E-4</v>
      </c>
      <c r="L116" s="61">
        <v>1.25E-4</v>
      </c>
      <c r="N116" s="56"/>
      <c r="O116" s="56"/>
      <c r="P116" s="56"/>
    </row>
    <row r="117" spans="2:16">
      <c r="C117" s="32" t="s">
        <v>74</v>
      </c>
      <c r="D117" s="44">
        <f>D33</f>
        <v>7756</v>
      </c>
      <c r="E117" s="44">
        <f>E33</f>
        <v>7780</v>
      </c>
      <c r="F117" s="44">
        <f>F33</f>
        <v>8352</v>
      </c>
      <c r="G117" s="28">
        <f ca="1">-(G109-G115)</f>
        <v>15040.64891876328</v>
      </c>
      <c r="H117" s="28">
        <f t="shared" ref="H117:K117" ca="1" si="62">-(H109-H115)</f>
        <v>22612.893137776358</v>
      </c>
      <c r="I117" s="28">
        <f t="shared" ca="1" si="62"/>
        <v>27082.588681108438</v>
      </c>
      <c r="J117" s="28">
        <f t="shared" ca="1" si="62"/>
        <v>29051.359798676418</v>
      </c>
      <c r="K117" s="28">
        <f t="shared" ca="1" si="62"/>
        <v>31044.614360071104</v>
      </c>
      <c r="N117" s="56"/>
      <c r="O117" s="56"/>
      <c r="P117" s="56"/>
    </row>
    <row r="118" spans="2:16">
      <c r="H118" s="30"/>
      <c r="I118" s="30"/>
      <c r="J118" s="30"/>
      <c r="K118" s="30"/>
    </row>
    <row r="119" spans="2:16">
      <c r="C119" s="62" t="s">
        <v>75</v>
      </c>
      <c r="D119" s="15"/>
      <c r="E119" s="15"/>
      <c r="F119" s="15"/>
      <c r="H119" s="30"/>
      <c r="I119" s="30"/>
      <c r="J119" s="30"/>
      <c r="K119" s="30"/>
    </row>
    <row r="120" spans="2:16">
      <c r="C120" s="31" t="s">
        <v>65</v>
      </c>
      <c r="D120" s="30"/>
      <c r="G120" s="63">
        <f>F123</f>
        <v>2783</v>
      </c>
      <c r="H120" s="63">
        <f t="shared" ref="H120:K120" ca="1" si="63">G123</f>
        <v>8283.3513872630956</v>
      </c>
      <c r="I120" s="63">
        <f t="shared" ca="1" si="63"/>
        <v>11828.508097717715</v>
      </c>
      <c r="J120" s="63">
        <f t="shared" ca="1" si="63"/>
        <v>11904.839654838559</v>
      </c>
      <c r="K120" s="63">
        <f t="shared" ca="1" si="63"/>
        <v>11160.78717641115</v>
      </c>
    </row>
    <row r="121" spans="2:16">
      <c r="C121" s="29" t="s">
        <v>126</v>
      </c>
      <c r="G121" s="30">
        <f ca="1">-G115</f>
        <v>-166.87842695999998</v>
      </c>
      <c r="H121" s="30">
        <f t="shared" ref="H121:K121" ca="1" si="64">-H115</f>
        <v>-218.44168758719994</v>
      </c>
      <c r="I121" s="30">
        <f t="shared" ca="1" si="64"/>
        <v>-199.86484756492791</v>
      </c>
      <c r="J121" s="30">
        <f t="shared" ca="1" si="64"/>
        <v>-168.63596513290793</v>
      </c>
      <c r="K121" s="30">
        <f t="shared" ca="1" si="64"/>
        <v>-161.89052652759159</v>
      </c>
    </row>
    <row r="122" spans="2:16">
      <c r="C122" s="64" t="s">
        <v>76</v>
      </c>
      <c r="D122" s="65"/>
      <c r="E122" s="65"/>
      <c r="F122" s="52"/>
      <c r="G122" s="66">
        <f ca="1">G123-G120-G121</f>
        <v>5667.2298142230957</v>
      </c>
      <c r="H122" s="66">
        <f t="shared" ref="H122:K122" ca="1" si="65">H123-H120-H121</f>
        <v>3763.5983980418191</v>
      </c>
      <c r="I122" s="66">
        <f t="shared" ca="1" si="65"/>
        <v>276.19640468577199</v>
      </c>
      <c r="J122" s="66">
        <f t="shared" ca="1" si="65"/>
        <v>-575.41651329450144</v>
      </c>
      <c r="K122" s="66">
        <f t="shared" ca="1" si="65"/>
        <v>1054.7535006404851</v>
      </c>
    </row>
    <row r="123" spans="2:16">
      <c r="C123" s="53" t="s">
        <v>68</v>
      </c>
      <c r="E123" s="44">
        <f t="shared" ref="E123:K123" si="66">E58</f>
        <v>1518</v>
      </c>
      <c r="F123" s="44">
        <f t="shared" si="66"/>
        <v>2783</v>
      </c>
      <c r="G123" s="44">
        <f t="shared" ca="1" si="66"/>
        <v>8283.3513872630956</v>
      </c>
      <c r="H123" s="44">
        <f t="shared" ca="1" si="66"/>
        <v>11828.508097717715</v>
      </c>
      <c r="I123" s="44">
        <f t="shared" ca="1" si="66"/>
        <v>11904.839654838559</v>
      </c>
      <c r="J123" s="44">
        <f t="shared" ca="1" si="66"/>
        <v>11160.78717641115</v>
      </c>
      <c r="K123" s="44">
        <f t="shared" ca="1" si="66"/>
        <v>12053.650150524043</v>
      </c>
    </row>
    <row r="124" spans="2:16">
      <c r="C124" s="29"/>
      <c r="E124" s="30"/>
      <c r="F124" s="30"/>
      <c r="H124" s="30"/>
      <c r="I124" s="30"/>
      <c r="J124" s="30"/>
      <c r="K124" s="30"/>
    </row>
    <row r="125" spans="2:16">
      <c r="B125" s="1" t="s">
        <v>125</v>
      </c>
      <c r="C125" s="67" t="s">
        <v>77</v>
      </c>
      <c r="D125" s="62"/>
      <c r="E125" s="62"/>
      <c r="F125" s="62"/>
      <c r="G125" s="15"/>
      <c r="H125" s="15"/>
      <c r="I125" s="15"/>
      <c r="J125" s="15"/>
      <c r="K125" s="15"/>
    </row>
    <row r="126" spans="2:16">
      <c r="C126" s="31" t="s">
        <v>65</v>
      </c>
      <c r="G126" s="30">
        <f>F130</f>
        <v>48583</v>
      </c>
      <c r="H126" s="30">
        <f t="shared" ref="H126:K126" ca="1" si="67">G130</f>
        <v>106005.74419171966</v>
      </c>
      <c r="I126" s="30">
        <f t="shared" ca="1" si="67"/>
        <v>196386.03489096009</v>
      </c>
      <c r="J126" s="30">
        <f t="shared" ca="1" si="67"/>
        <v>269528.03608249768</v>
      </c>
      <c r="K126" s="30">
        <f t="shared" ca="1" si="67"/>
        <v>327634.76938129828</v>
      </c>
    </row>
    <row r="127" spans="2:16">
      <c r="C127" s="29" t="s">
        <v>78</v>
      </c>
      <c r="D127" s="26">
        <f t="shared" ref="D127:K127" si="68">D31</f>
        <v>-5835</v>
      </c>
      <c r="E127" s="26">
        <f t="shared" si="68"/>
        <v>789</v>
      </c>
      <c r="F127" s="26">
        <f t="shared" si="68"/>
        <v>8530</v>
      </c>
      <c r="G127" s="30">
        <f t="shared" ca="1" si="68"/>
        <v>59307.844191723998</v>
      </c>
      <c r="H127" s="30">
        <f t="shared" ca="1" si="68"/>
        <v>92265.390699299867</v>
      </c>
      <c r="I127" s="30">
        <f t="shared" ca="1" si="68"/>
        <v>75027.101192202841</v>
      </c>
      <c r="J127" s="30">
        <f t="shared" ca="1" si="68"/>
        <v>59991.833303696309</v>
      </c>
      <c r="K127" s="30">
        <f t="shared" ca="1" si="68"/>
        <v>59244.599236895148</v>
      </c>
    </row>
    <row r="128" spans="2:16">
      <c r="C128" s="29" t="s">
        <v>79</v>
      </c>
      <c r="D128" s="25">
        <v>-509</v>
      </c>
      <c r="E128" s="25">
        <v>-518</v>
      </c>
      <c r="F128" s="25">
        <v>-527</v>
      </c>
      <c r="G128" s="30">
        <f>F128*1.3</f>
        <v>-685.1</v>
      </c>
      <c r="H128" s="30">
        <f t="shared" ref="H128:K128" si="69">G128</f>
        <v>-685.1</v>
      </c>
      <c r="I128" s="30">
        <f t="shared" si="69"/>
        <v>-685.1</v>
      </c>
      <c r="J128" s="30">
        <f t="shared" si="69"/>
        <v>-685.1</v>
      </c>
      <c r="K128" s="30">
        <f t="shared" si="69"/>
        <v>-685.1</v>
      </c>
    </row>
    <row r="129" spans="2:16">
      <c r="C129" s="64" t="s">
        <v>80</v>
      </c>
      <c r="D129" s="51">
        <v>-108</v>
      </c>
      <c r="E129" s="51">
        <v>-207</v>
      </c>
      <c r="F129" s="51">
        <v>-306</v>
      </c>
      <c r="G129" s="52">
        <f>-G183</f>
        <v>-1200</v>
      </c>
      <c r="H129" s="52">
        <f t="shared" ref="H129:K129" si="70">-H183</f>
        <v>-1200</v>
      </c>
      <c r="I129" s="52">
        <f t="shared" si="70"/>
        <v>-1200</v>
      </c>
      <c r="J129" s="52">
        <f t="shared" si="70"/>
        <v>-1200</v>
      </c>
      <c r="K129" s="52">
        <f t="shared" si="70"/>
        <v>-1200</v>
      </c>
    </row>
    <row r="130" spans="2:16">
      <c r="C130" s="53" t="s">
        <v>68</v>
      </c>
      <c r="D130" s="28">
        <v>40824</v>
      </c>
      <c r="E130" s="28">
        <f>E72</f>
        <v>40877</v>
      </c>
      <c r="F130" s="28">
        <f>F72</f>
        <v>48583</v>
      </c>
      <c r="G130" s="30">
        <f ca="1">SUM(G126:G129)</f>
        <v>106005.74419172399</v>
      </c>
      <c r="H130" s="30">
        <f t="shared" ref="H130:K130" ca="1" si="71">SUM(H126:H129)</f>
        <v>196386.03489101952</v>
      </c>
      <c r="I130" s="30">
        <f t="shared" ca="1" si="71"/>
        <v>269528.03608316294</v>
      </c>
      <c r="J130" s="30">
        <f t="shared" ca="1" si="71"/>
        <v>327634.76938619401</v>
      </c>
      <c r="K130" s="30">
        <f t="shared" ca="1" si="71"/>
        <v>384994.26861819346</v>
      </c>
    </row>
    <row r="131" spans="2:16">
      <c r="E131" s="47"/>
      <c r="F131" s="47"/>
    </row>
    <row r="132" spans="2:16">
      <c r="B132" s="1" t="s">
        <v>125</v>
      </c>
      <c r="C132" s="14" t="s">
        <v>81</v>
      </c>
      <c r="D132" s="15"/>
      <c r="E132" s="15"/>
      <c r="F132" s="15"/>
      <c r="G132" s="15"/>
      <c r="H132" s="15"/>
      <c r="I132" s="15"/>
      <c r="J132" s="15"/>
      <c r="K132" s="15"/>
      <c r="N132" s="56"/>
      <c r="O132" s="56"/>
    </row>
    <row r="133" spans="2:16">
      <c r="C133" s="40" t="str">
        <f>C15</f>
        <v xml:space="preserve">Fiscal year  </v>
      </c>
      <c r="D133" s="41">
        <f>E133-1</f>
        <v>2023</v>
      </c>
      <c r="E133" s="41">
        <f>F133-1</f>
        <v>2024</v>
      </c>
      <c r="F133" s="41">
        <v>2025</v>
      </c>
      <c r="G133" s="42">
        <v>2026</v>
      </c>
      <c r="H133" s="42">
        <f>G133+1</f>
        <v>2027</v>
      </c>
      <c r="I133" s="42">
        <f>H133+1</f>
        <v>2028</v>
      </c>
      <c r="J133" s="42">
        <f>I133+1</f>
        <v>2029</v>
      </c>
      <c r="K133" s="42">
        <f>J133+1</f>
        <v>2030</v>
      </c>
      <c r="N133" s="56"/>
      <c r="O133" s="56"/>
    </row>
    <row r="134" spans="2:16">
      <c r="C134" s="15" t="str">
        <f>C16</f>
        <v>Fiscal year end date</v>
      </c>
      <c r="D134" s="43">
        <f>DATE(2024,8,29)-364</f>
        <v>45169</v>
      </c>
      <c r="E134" s="43">
        <f>DATE(2025,8,28)-364</f>
        <v>45533</v>
      </c>
      <c r="F134" s="43">
        <f>D10</f>
        <v>45897</v>
      </c>
      <c r="G134" s="43">
        <f>DATE(2025,8,28)+364</f>
        <v>46261</v>
      </c>
      <c r="H134" s="43">
        <f>DATE(2026,8,27)+364</f>
        <v>46625</v>
      </c>
      <c r="I134" s="43">
        <f>DATE(2027,8,26)+371</f>
        <v>46996</v>
      </c>
      <c r="J134" s="43">
        <f>DATE(2028,8,31)+364</f>
        <v>47360</v>
      </c>
      <c r="K134" s="43">
        <f>DATE(2029,8,30)+364</f>
        <v>47724</v>
      </c>
      <c r="N134" s="56"/>
      <c r="O134" s="56"/>
    </row>
    <row r="135" spans="2:16">
      <c r="C135" s="27"/>
      <c r="N135" s="56"/>
      <c r="O135" s="56"/>
    </row>
    <row r="136" spans="2:16">
      <c r="C136" s="33" t="s">
        <v>82</v>
      </c>
      <c r="N136" s="56"/>
      <c r="O136" s="56"/>
      <c r="P136" s="56"/>
    </row>
    <row r="137" spans="2:16">
      <c r="C137" s="29" t="s">
        <v>83</v>
      </c>
      <c r="G137" s="30">
        <f>F49</f>
        <v>11936</v>
      </c>
      <c r="H137" s="30">
        <f ca="1">G49</f>
        <v>33791.274888095963</v>
      </c>
      <c r="I137" s="30">
        <f ca="1">H49</f>
        <v>96882.192061750742</v>
      </c>
      <c r="J137" s="30">
        <f ca="1">I49</f>
        <v>157309.67280625124</v>
      </c>
      <c r="K137" s="30">
        <f ca="1">J49</f>
        <v>207129.83738495604</v>
      </c>
      <c r="N137" s="56"/>
      <c r="O137" s="56"/>
    </row>
    <row r="138" spans="2:16">
      <c r="C138" s="29" t="s">
        <v>84</v>
      </c>
      <c r="G138" s="25">
        <v>-10000</v>
      </c>
      <c r="H138" s="25">
        <v>-10000</v>
      </c>
      <c r="I138" s="25">
        <v>-10000</v>
      </c>
      <c r="J138" s="25">
        <v>-10000</v>
      </c>
      <c r="K138" s="25">
        <v>-10000</v>
      </c>
      <c r="N138" s="56"/>
      <c r="O138" s="56"/>
    </row>
    <row r="139" spans="2:16">
      <c r="C139" s="64" t="s">
        <v>85</v>
      </c>
      <c r="D139" s="65"/>
      <c r="E139" s="65"/>
      <c r="F139" s="121"/>
      <c r="G139" s="122">
        <f ca="1">SUM(G90,G93,G95,G97,G98)</f>
        <v>22365.274888100299</v>
      </c>
      <c r="H139" s="122">
        <f t="shared" ref="H139:K139" ca="1" si="72">SUM(H90,H93,H95,H97,H98)</f>
        <v>63090.91717371421</v>
      </c>
      <c r="I139" s="122">
        <f ca="1">SUM(I90,I93,I95,I97,I98)</f>
        <v>60427.480744906112</v>
      </c>
      <c r="J139" s="122">
        <f t="shared" ca="1" si="72"/>
        <v>49820.16458056082</v>
      </c>
      <c r="K139" s="122">
        <f t="shared" ca="1" si="72"/>
        <v>45287.15986162793</v>
      </c>
    </row>
    <row r="140" spans="2:16">
      <c r="C140" s="53" t="s">
        <v>86</v>
      </c>
      <c r="G140" s="44">
        <f ca="1">SUM(G137:G139)</f>
        <v>24301.274888100299</v>
      </c>
      <c r="H140" s="44">
        <f t="shared" ref="H140:K140" ca="1" si="73">SUM(H137:H139)</f>
        <v>86882.192061810172</v>
      </c>
      <c r="I140" s="44">
        <f t="shared" ca="1" si="73"/>
        <v>147309.67280665686</v>
      </c>
      <c r="J140" s="44">
        <f t="shared" ca="1" si="73"/>
        <v>197129.83738681205</v>
      </c>
      <c r="K140" s="44">
        <f t="shared" ca="1" si="73"/>
        <v>242416.99724658398</v>
      </c>
    </row>
    <row r="142" spans="2:16">
      <c r="C142" s="27" t="s">
        <v>87</v>
      </c>
    </row>
    <row r="143" spans="2:16">
      <c r="C143" s="29" t="s">
        <v>65</v>
      </c>
      <c r="G143" s="30">
        <f>F146</f>
        <v>560</v>
      </c>
      <c r="H143" s="30">
        <f t="shared" ref="H143:K143" ca="1" si="74">G146</f>
        <v>50</v>
      </c>
      <c r="I143" s="30">
        <f t="shared" ca="1" si="74"/>
        <v>50</v>
      </c>
      <c r="J143" s="30">
        <f t="shared" ca="1" si="74"/>
        <v>50</v>
      </c>
      <c r="K143" s="30">
        <f t="shared" ca="1" si="74"/>
        <v>50</v>
      </c>
    </row>
    <row r="144" spans="2:16">
      <c r="C144" s="49" t="s">
        <v>88</v>
      </c>
      <c r="G144" s="30">
        <f ca="1">-MIN(G140,G143)</f>
        <v>-560</v>
      </c>
      <c r="H144" s="30">
        <f ca="1">-MIN(H140,H143)</f>
        <v>-50</v>
      </c>
      <c r="I144" s="30">
        <f t="shared" ref="I144:K144" ca="1" si="75">-MIN(I140,I143)</f>
        <v>-50</v>
      </c>
      <c r="J144" s="30">
        <f ca="1">-MIN(J140,J143)</f>
        <v>-50</v>
      </c>
      <c r="K144" s="30">
        <f t="shared" ca="1" si="75"/>
        <v>-50</v>
      </c>
    </row>
    <row r="145" spans="2:18">
      <c r="C145" s="50" t="s">
        <v>89</v>
      </c>
      <c r="D145" s="65"/>
      <c r="E145" s="65"/>
      <c r="F145" s="65"/>
      <c r="G145" s="51">
        <v>50</v>
      </c>
      <c r="H145" s="51">
        <v>50</v>
      </c>
      <c r="I145" s="51">
        <v>50</v>
      </c>
      <c r="J145" s="51">
        <v>50</v>
      </c>
      <c r="K145" s="51">
        <v>50</v>
      </c>
    </row>
    <row r="146" spans="2:18">
      <c r="C146" s="29" t="s">
        <v>68</v>
      </c>
      <c r="D146" s="52"/>
      <c r="E146" s="52">
        <f>E63</f>
        <v>431</v>
      </c>
      <c r="F146" s="52">
        <f>F63</f>
        <v>560</v>
      </c>
      <c r="G146" s="68">
        <f ca="1">SUM(G143:G145)</f>
        <v>50</v>
      </c>
      <c r="H146" s="68">
        <f t="shared" ref="H146:K146" ca="1" si="76">SUM(H143:H145)</f>
        <v>50</v>
      </c>
      <c r="I146" s="68">
        <f t="shared" ca="1" si="76"/>
        <v>50</v>
      </c>
      <c r="J146" s="68">
        <f t="shared" ca="1" si="76"/>
        <v>50</v>
      </c>
      <c r="K146" s="68">
        <f t="shared" ca="1" si="76"/>
        <v>50</v>
      </c>
    </row>
    <row r="147" spans="2:18">
      <c r="C147" s="69" t="s">
        <v>90</v>
      </c>
      <c r="D147" s="70"/>
      <c r="E147" s="70"/>
      <c r="F147" s="71"/>
      <c r="G147" s="72" t="str">
        <f ca="1">IF(G146&lt;0,"Negative Debt","OK")</f>
        <v>OK</v>
      </c>
      <c r="H147" s="72" t="str">
        <f ca="1">IF(H146&lt;0,"Negative Debt","OK")</f>
        <v>OK</v>
      </c>
      <c r="I147" s="72" t="str">
        <f ca="1">IF(I146&lt;0,"Negative Debt","OK")</f>
        <v>OK</v>
      </c>
      <c r="J147" s="72" t="str">
        <f ca="1">IF(J146&lt;0,"Negative Debt","OK")</f>
        <v>OK</v>
      </c>
      <c r="K147" s="73" t="str">
        <f ca="1">IF(K146&lt;0,"Negative Debt","OK")</f>
        <v>OK</v>
      </c>
      <c r="R147" s="47"/>
    </row>
    <row r="148" spans="2:18">
      <c r="D148" s="30"/>
      <c r="E148" s="30"/>
      <c r="F148" s="74"/>
      <c r="G148" s="75"/>
      <c r="H148" s="75"/>
      <c r="I148" s="75"/>
      <c r="J148" s="75"/>
      <c r="K148" s="75"/>
      <c r="R148" s="47"/>
    </row>
    <row r="149" spans="2:18">
      <c r="B149" s="1" t="s">
        <v>125</v>
      </c>
      <c r="C149" s="14" t="s">
        <v>91</v>
      </c>
      <c r="D149" s="58"/>
      <c r="E149" s="58"/>
      <c r="F149" s="58"/>
      <c r="G149" s="76"/>
      <c r="H149" s="76"/>
      <c r="I149" s="76"/>
      <c r="J149" s="76"/>
      <c r="K149" s="76"/>
      <c r="Q149" s="77"/>
    </row>
    <row r="150" spans="2:18">
      <c r="C150" s="40" t="str">
        <f>C15</f>
        <v xml:space="preserve">Fiscal year  </v>
      </c>
      <c r="D150" s="41">
        <f>E150-1</f>
        <v>2023</v>
      </c>
      <c r="E150" s="41">
        <f>F150-1</f>
        <v>2024</v>
      </c>
      <c r="F150" s="41">
        <v>2025</v>
      </c>
      <c r="G150" s="42">
        <v>2026</v>
      </c>
      <c r="H150" s="42">
        <f>G150+1</f>
        <v>2027</v>
      </c>
      <c r="I150" s="42">
        <f>H150+1</f>
        <v>2028</v>
      </c>
      <c r="J150" s="42">
        <f>I150+1</f>
        <v>2029</v>
      </c>
      <c r="K150" s="42">
        <f>J150+1</f>
        <v>2030</v>
      </c>
      <c r="Q150" s="77"/>
      <c r="R150" s="47"/>
    </row>
    <row r="151" spans="2:18">
      <c r="C151" s="15" t="str">
        <f>C16</f>
        <v>Fiscal year end date</v>
      </c>
      <c r="D151" s="43">
        <f>DATE(2024,8,29)-364</f>
        <v>45169</v>
      </c>
      <c r="E151" s="43">
        <f>DATE(2025,8,28)-364</f>
        <v>45533</v>
      </c>
      <c r="F151" s="43">
        <f>D10</f>
        <v>45897</v>
      </c>
      <c r="G151" s="43">
        <f>DATE(2025,8,28)+364</f>
        <v>46261</v>
      </c>
      <c r="H151" s="43">
        <f>DATE(2026,8,27)+364</f>
        <v>46625</v>
      </c>
      <c r="I151" s="43">
        <f>DATE(2027,8,26)+371</f>
        <v>46996</v>
      </c>
      <c r="J151" s="43">
        <f>DATE(2028,8,31)+364</f>
        <v>47360</v>
      </c>
      <c r="K151" s="43">
        <f>DATE(2029,8,30)+364</f>
        <v>47724</v>
      </c>
      <c r="Q151" s="77"/>
    </row>
    <row r="152" spans="2:18">
      <c r="C152" s="29"/>
      <c r="D152" s="30"/>
      <c r="E152" s="30"/>
      <c r="F152" s="30"/>
      <c r="G152" s="78"/>
      <c r="H152" s="78"/>
      <c r="I152" s="78"/>
      <c r="J152" s="78"/>
      <c r="K152" s="78"/>
      <c r="Q152" s="77"/>
    </row>
    <row r="153" spans="2:18">
      <c r="C153" s="31" t="s">
        <v>133</v>
      </c>
      <c r="D153" s="30">
        <f>-(D27)</f>
        <v>388</v>
      </c>
      <c r="E153" s="30">
        <f>-(E27)</f>
        <v>562</v>
      </c>
      <c r="F153" s="30">
        <f>-(F27)</f>
        <v>477</v>
      </c>
      <c r="G153" s="30">
        <f ca="1">G158+G165</f>
        <v>619.89249999999993</v>
      </c>
      <c r="H153" s="30">
        <f ca="1">H158+H165</f>
        <v>423.39249999999998</v>
      </c>
      <c r="I153" s="30">
        <f ca="1">I158+I165</f>
        <v>318.39249999999998</v>
      </c>
      <c r="J153" s="30">
        <f ca="1">J158+J165</f>
        <v>213.39249999999998</v>
      </c>
      <c r="K153" s="30">
        <f ca="1">K158+K165</f>
        <v>108.3925</v>
      </c>
      <c r="Q153" s="47"/>
    </row>
    <row r="154" spans="2:18">
      <c r="C154" s="79"/>
      <c r="Q154" s="47"/>
    </row>
    <row r="155" spans="2:18">
      <c r="C155" s="80" t="s">
        <v>92</v>
      </c>
      <c r="Q155" s="47"/>
    </row>
    <row r="156" spans="2:18">
      <c r="C156" s="29" t="s">
        <v>93</v>
      </c>
      <c r="E156" s="81">
        <v>0.05</v>
      </c>
      <c r="F156" s="81">
        <v>0.05</v>
      </c>
      <c r="G156" s="81">
        <v>0.05</v>
      </c>
      <c r="H156" s="81">
        <v>0.05</v>
      </c>
      <c r="I156" s="81">
        <v>0.05</v>
      </c>
      <c r="J156" s="81">
        <v>0.05</v>
      </c>
      <c r="K156" s="81">
        <v>0.05</v>
      </c>
    </row>
    <row r="157" spans="2:18">
      <c r="C157" s="29" t="s">
        <v>94</v>
      </c>
      <c r="D157" s="52"/>
      <c r="E157" s="52">
        <f t="shared" ref="E157:K157" si="77">E63</f>
        <v>431</v>
      </c>
      <c r="F157" s="52">
        <f t="shared" si="77"/>
        <v>560</v>
      </c>
      <c r="G157" s="122">
        <f ca="1">G63</f>
        <v>50</v>
      </c>
      <c r="H157" s="122">
        <f t="shared" ca="1" si="77"/>
        <v>50</v>
      </c>
      <c r="I157" s="122">
        <f ca="1">I63</f>
        <v>50</v>
      </c>
      <c r="J157" s="122">
        <f t="shared" ca="1" si="77"/>
        <v>50</v>
      </c>
      <c r="K157" s="122">
        <f t="shared" ca="1" si="77"/>
        <v>50</v>
      </c>
    </row>
    <row r="158" spans="2:18">
      <c r="C158" s="82" t="s">
        <v>95</v>
      </c>
      <c r="D158" s="30"/>
      <c r="E158" s="44">
        <f>IF($D$7=1,AVERAGE(D157:E157)*E156,0)</f>
        <v>21.55</v>
      </c>
      <c r="F158" s="44">
        <f t="shared" ref="F158:K158" si="78">IF($D$7=1,AVERAGE(E157:F157)*F156,0)</f>
        <v>24.775000000000002</v>
      </c>
      <c r="G158" s="44">
        <f ca="1">IF($D$7=1,AVERAGE(F157:G157)*G156,0)</f>
        <v>15.25</v>
      </c>
      <c r="H158" s="44">
        <f ca="1">IF($D$7=1,AVERAGE(G157:H157)*H156,0)</f>
        <v>2.5</v>
      </c>
      <c r="I158" s="44">
        <f t="shared" ca="1" si="78"/>
        <v>2.5</v>
      </c>
      <c r="J158" s="44">
        <f t="shared" ca="1" si="78"/>
        <v>2.5</v>
      </c>
      <c r="K158" s="44">
        <f t="shared" ca="1" si="78"/>
        <v>2.5</v>
      </c>
    </row>
    <row r="159" spans="2:18">
      <c r="C159" s="83"/>
      <c r="D159" s="30"/>
      <c r="E159" s="30"/>
      <c r="F159" s="30"/>
    </row>
    <row r="160" spans="2:18">
      <c r="C160" s="80" t="s">
        <v>58</v>
      </c>
      <c r="D160" s="30"/>
      <c r="E160" s="30"/>
      <c r="F160" s="30"/>
    </row>
    <row r="161" spans="2:17">
      <c r="C161" s="29" t="s">
        <v>159</v>
      </c>
      <c r="D161" s="30"/>
      <c r="E161" s="30"/>
      <c r="F161" s="30"/>
      <c r="G161" s="30">
        <f>F64</f>
        <v>14017</v>
      </c>
      <c r="H161" s="30">
        <f>G163</f>
        <v>9017</v>
      </c>
      <c r="I161" s="30">
        <f t="shared" ref="I161:K161" si="79">H163</f>
        <v>7017</v>
      </c>
      <c r="J161" s="30">
        <f t="shared" si="79"/>
        <v>5017</v>
      </c>
      <c r="K161" s="30">
        <f t="shared" si="79"/>
        <v>3017</v>
      </c>
    </row>
    <row r="162" spans="2:17">
      <c r="C162" s="29" t="s">
        <v>158</v>
      </c>
      <c r="D162" s="30"/>
      <c r="E162" s="30"/>
      <c r="F162" s="30"/>
      <c r="G162" s="25">
        <v>-5000</v>
      </c>
      <c r="H162" s="25">
        <v>-2000</v>
      </c>
      <c r="I162" s="25">
        <v>-2000</v>
      </c>
      <c r="J162" s="25">
        <v>-2000</v>
      </c>
      <c r="K162" s="25">
        <v>-2000</v>
      </c>
    </row>
    <row r="163" spans="2:17">
      <c r="C163" s="29" t="s">
        <v>160</v>
      </c>
      <c r="D163" s="30"/>
      <c r="E163" s="30"/>
      <c r="F163" s="30"/>
      <c r="G163" s="30">
        <f>G161+G162</f>
        <v>9017</v>
      </c>
      <c r="H163" s="30">
        <f t="shared" ref="H163:K163" si="80">H161+H162</f>
        <v>7017</v>
      </c>
      <c r="I163" s="30">
        <f t="shared" si="80"/>
        <v>5017</v>
      </c>
      <c r="J163" s="30">
        <f t="shared" si="80"/>
        <v>3017</v>
      </c>
      <c r="K163" s="30">
        <f t="shared" si="80"/>
        <v>1017</v>
      </c>
    </row>
    <row r="164" spans="2:17">
      <c r="C164" s="29" t="s">
        <v>93</v>
      </c>
      <c r="D164" s="121"/>
      <c r="E164" s="123"/>
      <c r="F164" s="123"/>
      <c r="G164" s="124">
        <v>5.2499999999999998E-2</v>
      </c>
      <c r="H164" s="124">
        <v>5.2499999999999998E-2</v>
      </c>
      <c r="I164" s="124">
        <v>5.2499999999999998E-2</v>
      </c>
      <c r="J164" s="124">
        <v>5.2499999999999998E-2</v>
      </c>
      <c r="K164" s="124">
        <v>5.2499999999999998E-2</v>
      </c>
      <c r="Q164" s="77"/>
    </row>
    <row r="165" spans="2:17">
      <c r="C165" s="82" t="s">
        <v>96</v>
      </c>
      <c r="D165" s="30"/>
      <c r="E165" s="44"/>
      <c r="F165" s="44"/>
      <c r="G165" s="44">
        <f>IF($D$7=1,G164*AVERAGE(G161,G163),0)</f>
        <v>604.64249999999993</v>
      </c>
      <c r="H165" s="44">
        <f t="shared" ref="H165:K165" si="81">IF($D$7=1,H164*AVERAGE(H161,H163),0)</f>
        <v>420.89249999999998</v>
      </c>
      <c r="I165" s="44">
        <f t="shared" si="81"/>
        <v>315.89249999999998</v>
      </c>
      <c r="J165" s="44">
        <f t="shared" si="81"/>
        <v>210.89249999999998</v>
      </c>
      <c r="K165" s="44">
        <f t="shared" si="81"/>
        <v>105.8925</v>
      </c>
      <c r="Q165" s="77"/>
    </row>
    <row r="166" spans="2:17">
      <c r="E166" s="30"/>
    </row>
    <row r="167" spans="2:17">
      <c r="C167" s="79" t="s">
        <v>97</v>
      </c>
      <c r="E167" s="30"/>
      <c r="F167" s="30"/>
    </row>
    <row r="168" spans="2:17">
      <c r="C168" s="29" t="s">
        <v>134</v>
      </c>
      <c r="E168" s="30"/>
      <c r="F168" s="30"/>
      <c r="G168" s="30">
        <f ca="1">AVERAGE(F49:G49)</f>
        <v>22863.637444047981</v>
      </c>
      <c r="H168" s="30">
        <f ca="1">AVERAGE(G49:H49)</f>
        <v>65336.733474923356</v>
      </c>
      <c r="I168" s="30">
        <f ca="1">AVERAGE(H49:I49)</f>
        <v>127095.93243400099</v>
      </c>
      <c r="J168" s="30">
        <f ca="1">AVERAGE(I49:J49)</f>
        <v>182219.75509560364</v>
      </c>
      <c r="K168" s="30">
        <f ca="1">AVERAGE(J49:K49)</f>
        <v>229773.41731253581</v>
      </c>
    </row>
    <row r="169" spans="2:17">
      <c r="C169" s="29" t="s">
        <v>98</v>
      </c>
      <c r="D169" s="84"/>
      <c r="E169" s="84"/>
      <c r="F169" s="84"/>
      <c r="G169" s="84">
        <v>0.04</v>
      </c>
      <c r="H169" s="84">
        <v>0.04</v>
      </c>
      <c r="I169" s="84">
        <v>0.04</v>
      </c>
      <c r="J169" s="84">
        <v>0.04</v>
      </c>
      <c r="K169" s="84">
        <v>0.04</v>
      </c>
    </row>
    <row r="170" spans="2:17">
      <c r="C170" s="29" t="s">
        <v>16</v>
      </c>
      <c r="D170" s="30">
        <f>D26</f>
        <v>468</v>
      </c>
      <c r="E170" s="30">
        <f>E26</f>
        <v>529</v>
      </c>
      <c r="F170" s="30">
        <f>F26</f>
        <v>496</v>
      </c>
      <c r="G170" s="30">
        <f ca="1">IF($D$7=1,G169*G168,0)</f>
        <v>914.54549776191925</v>
      </c>
      <c r="H170" s="30">
        <f ca="1">IF($D$7=1,H169*H168,0)</f>
        <v>2613.4693389969343</v>
      </c>
      <c r="I170" s="30">
        <f t="shared" ref="I170:K170" ca="1" si="82">IF($D$7=1,I169*I168,0)</f>
        <v>5083.8372973600399</v>
      </c>
      <c r="J170" s="30">
        <f t="shared" ca="1" si="82"/>
        <v>7288.7902038241455</v>
      </c>
      <c r="K170" s="30">
        <f t="shared" ca="1" si="82"/>
        <v>9190.9366925014328</v>
      </c>
    </row>
    <row r="172" spans="2:17">
      <c r="B172" s="1" t="s">
        <v>125</v>
      </c>
      <c r="C172" s="14" t="s">
        <v>112</v>
      </c>
      <c r="D172" s="14"/>
      <c r="E172" s="14"/>
      <c r="F172" s="14"/>
      <c r="G172" s="14"/>
      <c r="H172" s="14"/>
      <c r="I172" s="14"/>
      <c r="J172" s="14"/>
      <c r="K172" s="14"/>
      <c r="Q172" s="1" t="s">
        <v>142</v>
      </c>
    </row>
    <row r="173" spans="2:17">
      <c r="C173" s="40" t="str">
        <f t="shared" ref="C173:K173" si="83">C15</f>
        <v xml:space="preserve">Fiscal year  </v>
      </c>
      <c r="D173" s="41">
        <f t="shared" si="83"/>
        <v>2023</v>
      </c>
      <c r="E173" s="41">
        <f t="shared" si="83"/>
        <v>2024</v>
      </c>
      <c r="F173" s="41">
        <f t="shared" si="83"/>
        <v>2025</v>
      </c>
      <c r="G173" s="42">
        <f t="shared" si="83"/>
        <v>2026</v>
      </c>
      <c r="H173" s="42">
        <f t="shared" si="83"/>
        <v>2027</v>
      </c>
      <c r="I173" s="42">
        <f t="shared" si="83"/>
        <v>2028</v>
      </c>
      <c r="J173" s="42">
        <f t="shared" si="83"/>
        <v>2029</v>
      </c>
      <c r="K173" s="42">
        <f t="shared" si="83"/>
        <v>2030</v>
      </c>
    </row>
    <row r="174" spans="2:17">
      <c r="C174" s="15" t="str">
        <f t="shared" ref="C174:K174" si="84">C16</f>
        <v>Fiscal year end date</v>
      </c>
      <c r="D174" s="43">
        <f t="shared" si="84"/>
        <v>45169</v>
      </c>
      <c r="E174" s="43">
        <f t="shared" si="84"/>
        <v>45533</v>
      </c>
      <c r="F174" s="43">
        <f t="shared" si="84"/>
        <v>45897</v>
      </c>
      <c r="G174" s="43">
        <f t="shared" si="84"/>
        <v>46261</v>
      </c>
      <c r="H174" s="43">
        <f t="shared" si="84"/>
        <v>46625</v>
      </c>
      <c r="I174" s="43">
        <f t="shared" si="84"/>
        <v>46996</v>
      </c>
      <c r="J174" s="43">
        <f t="shared" si="84"/>
        <v>47360</v>
      </c>
      <c r="K174" s="43">
        <f t="shared" si="84"/>
        <v>47724</v>
      </c>
    </row>
    <row r="175" spans="2:17">
      <c r="G175" s="36"/>
      <c r="H175" s="36"/>
      <c r="I175" s="36"/>
      <c r="J175" s="34"/>
      <c r="K175" s="34"/>
    </row>
    <row r="176" spans="2:17">
      <c r="C176" s="1" t="s">
        <v>21</v>
      </c>
      <c r="D176" s="30">
        <f t="shared" ref="D176:K176" si="85">D31</f>
        <v>-5835</v>
      </c>
      <c r="E176" s="30">
        <f t="shared" si="85"/>
        <v>789</v>
      </c>
      <c r="F176" s="30">
        <f t="shared" si="85"/>
        <v>8530</v>
      </c>
      <c r="G176" s="30">
        <f t="shared" ca="1" si="85"/>
        <v>59307.844191723998</v>
      </c>
      <c r="H176" s="30">
        <f t="shared" ca="1" si="85"/>
        <v>92265.390699299867</v>
      </c>
      <c r="I176" s="30">
        <f t="shared" ca="1" si="85"/>
        <v>75027.101192202841</v>
      </c>
      <c r="J176" s="30">
        <f t="shared" ca="1" si="85"/>
        <v>59991.833303696309</v>
      </c>
      <c r="K176" s="30">
        <f t="shared" ca="1" si="85"/>
        <v>59244.599236895148</v>
      </c>
    </row>
    <row r="177" spans="2:11">
      <c r="C177" s="1" t="s">
        <v>113</v>
      </c>
      <c r="D177" s="25">
        <v>1093</v>
      </c>
      <c r="E177" s="25">
        <v>1105</v>
      </c>
      <c r="F177" s="25">
        <v>1116</v>
      </c>
      <c r="G177" s="30">
        <f ca="1">F177-(G183+G184)/G186</f>
        <v>1115.7932398291134</v>
      </c>
      <c r="H177" s="30">
        <f ca="1">G177-(H183+H184)/H186</f>
        <v>1115.7689800440489</v>
      </c>
      <c r="I177" s="30">
        <f ca="1">H177-(I183+I184)/I186</f>
        <v>1115.8693502953722</v>
      </c>
      <c r="J177" s="30">
        <f ca="1">I177-(J183+J184)/J186</f>
        <v>1116.1308069257573</v>
      </c>
      <c r="K177" s="30">
        <f ca="1">J177-(K183+K184)/K186</f>
        <v>1116.5163465072808</v>
      </c>
    </row>
    <row r="178" spans="2:11">
      <c r="C178" s="27" t="s">
        <v>114</v>
      </c>
      <c r="D178" s="85">
        <f>D176/D177</f>
        <v>-5.3385178408051237</v>
      </c>
      <c r="E178" s="85">
        <f t="shared" ref="E178:K178" si="86">E176/E177</f>
        <v>0.71402714932126699</v>
      </c>
      <c r="F178" s="85">
        <f>F176/F177</f>
        <v>7.6433691756272397</v>
      </c>
      <c r="G178" s="85">
        <f ca="1">G176/G177</f>
        <v>53.153077178355325</v>
      </c>
      <c r="H178" s="85">
        <f t="shared" ca="1" si="86"/>
        <v>82.692199146509125</v>
      </c>
      <c r="I178" s="85">
        <f t="shared" ca="1" si="86"/>
        <v>67.236456644626955</v>
      </c>
      <c r="J178" s="85">
        <f t="shared" ca="1" si="86"/>
        <v>53.749822987984992</v>
      </c>
      <c r="K178" s="85">
        <f t="shared" ca="1" si="86"/>
        <v>53.062007934076242</v>
      </c>
    </row>
    <row r="179" spans="2:11">
      <c r="D179" s="25"/>
      <c r="E179" s="25"/>
      <c r="F179" s="25"/>
      <c r="G179" s="30"/>
    </row>
    <row r="180" spans="2:11">
      <c r="C180" s="1" t="s">
        <v>115</v>
      </c>
      <c r="D180" s="25">
        <f>D177</f>
        <v>1093</v>
      </c>
      <c r="E180" s="25">
        <f>E177+13</f>
        <v>1118</v>
      </c>
      <c r="F180" s="25">
        <f t="shared" ref="F180" si="87">F177+9</f>
        <v>1125</v>
      </c>
      <c r="G180" s="30">
        <f ca="1">(F180-F177)+G177</f>
        <v>1124.7932398291134</v>
      </c>
      <c r="H180" s="30">
        <f ca="1">(G180-G177)+H177</f>
        <v>1124.7689800440489</v>
      </c>
      <c r="I180" s="30">
        <f ca="1">(H180-H177)+I177</f>
        <v>1124.8693502953722</v>
      </c>
      <c r="J180" s="30">
        <f ca="1">(I180-I177)+J177</f>
        <v>1125.1308069257573</v>
      </c>
      <c r="K180" s="30">
        <f ca="1">(J180-J177)+K177</f>
        <v>1125.5163465072808</v>
      </c>
    </row>
    <row r="181" spans="2:11">
      <c r="C181" s="27" t="s">
        <v>116</v>
      </c>
      <c r="D181" s="85">
        <f t="shared" ref="D181:K181" si="88">D176/D180</f>
        <v>-5.3385178408051237</v>
      </c>
      <c r="E181" s="85">
        <f t="shared" si="88"/>
        <v>0.70572450805008946</v>
      </c>
      <c r="F181" s="85">
        <f>F176/F180</f>
        <v>7.5822222222222226</v>
      </c>
      <c r="G181" s="85">
        <f ca="1">G176/G180</f>
        <v>52.727774395883166</v>
      </c>
      <c r="H181" s="85">
        <f t="shared" ca="1" si="88"/>
        <v>82.030525677981018</v>
      </c>
      <c r="I181" s="85">
        <f t="shared" ca="1" si="88"/>
        <v>66.698502517205185</v>
      </c>
      <c r="J181" s="85">
        <f t="shared" ca="1" si="88"/>
        <v>53.319874395417671</v>
      </c>
      <c r="K181" s="85">
        <f t="shared" ca="1" si="88"/>
        <v>52.63770661416325</v>
      </c>
    </row>
    <row r="182" spans="2:11">
      <c r="G182" s="86"/>
    </row>
    <row r="183" spans="2:11">
      <c r="C183" s="1" t="s">
        <v>117</v>
      </c>
      <c r="G183" s="30">
        <v>1200</v>
      </c>
      <c r="H183" s="30">
        <v>1200</v>
      </c>
      <c r="I183" s="30">
        <v>1200</v>
      </c>
      <c r="J183" s="30">
        <v>1200</v>
      </c>
      <c r="K183" s="30">
        <v>1200</v>
      </c>
    </row>
    <row r="184" spans="2:11">
      <c r="C184" s="1" t="s">
        <v>118</v>
      </c>
      <c r="D184" s="87"/>
      <c r="G184" s="30">
        <f>-(G35)</f>
        <v>-1069.2</v>
      </c>
      <c r="H184" s="30">
        <f>-(H35)</f>
        <v>-1176.1200000000001</v>
      </c>
      <c r="I184" s="30">
        <f>-(I35)</f>
        <v>-1293.7320000000002</v>
      </c>
      <c r="J184" s="30">
        <f>-(J35)</f>
        <v>-1423.1052000000004</v>
      </c>
      <c r="K184" s="30">
        <f>-(K35)</f>
        <v>-1565.4157200000006</v>
      </c>
    </row>
    <row r="185" spans="2:11">
      <c r="C185" s="1" t="s">
        <v>144</v>
      </c>
      <c r="G185" s="88">
        <v>12</v>
      </c>
      <c r="H185" s="88">
        <v>12</v>
      </c>
      <c r="I185" s="88">
        <v>14</v>
      </c>
      <c r="J185" s="88">
        <v>16</v>
      </c>
      <c r="K185" s="88">
        <v>18</v>
      </c>
    </row>
    <row r="186" spans="2:11">
      <c r="C186" s="1" t="s">
        <v>147</v>
      </c>
      <c r="F186" s="86"/>
      <c r="G186" s="89">
        <f ca="1">G185*G176/F180</f>
        <v>632.61700471172264</v>
      </c>
      <c r="H186" s="89">
        <f t="shared" ref="H186:J186" ca="1" si="89">H185*H176/G180</f>
        <v>984.34507710929142</v>
      </c>
      <c r="I186" s="89">
        <f ca="1">I185*I176/H180</f>
        <v>933.86236225122786</v>
      </c>
      <c r="J186" s="89">
        <f t="shared" ca="1" si="89"/>
        <v>853.3162830039729</v>
      </c>
      <c r="K186" s="89">
        <f ca="1">K185*K176/J180</f>
        <v>947.80338401531321</v>
      </c>
    </row>
    <row r="187" spans="2:11">
      <c r="H187" s="90"/>
      <c r="I187" s="90"/>
      <c r="J187" s="90"/>
      <c r="K187" s="90"/>
    </row>
    <row r="188" spans="2:11">
      <c r="C188" s="91"/>
      <c r="D188" s="60"/>
      <c r="E188" s="60"/>
      <c r="F188" s="60"/>
      <c r="G188" s="60"/>
      <c r="H188" s="60"/>
    </row>
    <row r="189" spans="2:11">
      <c r="B189" s="1" t="s">
        <v>125</v>
      </c>
      <c r="C189" s="14" t="s">
        <v>99</v>
      </c>
      <c r="D189" s="14"/>
      <c r="E189" s="14"/>
      <c r="F189" s="14"/>
      <c r="G189" s="14"/>
      <c r="H189" s="14"/>
      <c r="I189" s="14"/>
      <c r="J189" s="14"/>
      <c r="K189" s="14"/>
    </row>
    <row r="190" spans="2:11">
      <c r="C190" s="27"/>
    </row>
    <row r="191" spans="2:11" ht="15.75" thickBot="1">
      <c r="C191" s="92" t="s">
        <v>146</v>
      </c>
      <c r="D191" s="93"/>
      <c r="E191" s="93"/>
      <c r="F191" s="93"/>
      <c r="G191" s="93"/>
      <c r="H191" s="93"/>
      <c r="I191" s="93"/>
    </row>
    <row r="192" spans="2:11">
      <c r="D192" s="27"/>
      <c r="E192" s="94" t="s">
        <v>100</v>
      </c>
      <c r="F192" s="95"/>
      <c r="G192" s="95"/>
      <c r="H192" s="95"/>
      <c r="I192" s="95"/>
    </row>
    <row r="193" spans="3:9" ht="15.75" thickBot="1">
      <c r="D193" s="96">
        <f ca="1">G31</f>
        <v>59307.844191723998</v>
      </c>
      <c r="E193" s="97">
        <v>1.8</v>
      </c>
      <c r="F193" s="97">
        <v>1.9</v>
      </c>
      <c r="G193" s="97">
        <v>1.976</v>
      </c>
      <c r="H193" s="97">
        <v>2.0499999999999998</v>
      </c>
      <c r="I193" s="97">
        <v>2.15</v>
      </c>
    </row>
    <row r="194" spans="3:9">
      <c r="C194" s="98"/>
      <c r="D194" s="99">
        <v>0.85</v>
      </c>
      <c r="E194" s="100">
        <f t="dataTable" ref="E194:I199" dt2D="1" dtr="1" r1="G39" r2="G40" ca="1"/>
        <v>64647.371834790065</v>
      </c>
      <c r="F194" s="100">
        <v>66969.759934828166</v>
      </c>
      <c r="G194" s="100">
        <v>68734.774890855857</v>
      </c>
      <c r="H194" s="100">
        <v>70453.342084882694</v>
      </c>
      <c r="I194" s="100">
        <v>72775.730184918822</v>
      </c>
    </row>
    <row r="195" spans="3:9">
      <c r="C195" s="101" t="s">
        <v>101</v>
      </c>
      <c r="D195" s="99">
        <v>0.8</v>
      </c>
      <c r="E195" s="100">
        <v>60208.783983488436</v>
      </c>
      <c r="F195" s="100">
        <v>62372.651088834784</v>
      </c>
      <c r="G195" s="100">
        <v>64017.190088898482</v>
      </c>
      <c r="H195" s="100">
        <v>65618.451746855135</v>
      </c>
      <c r="I195" s="100">
        <v>67782.318852201846</v>
      </c>
    </row>
    <row r="196" spans="3:9">
      <c r="C196" s="101" t="s">
        <v>102</v>
      </c>
      <c r="D196" s="99">
        <v>0.75</v>
      </c>
      <c r="E196" s="100">
        <v>55770.196132184392</v>
      </c>
      <c r="F196" s="100">
        <v>57775.542242841373</v>
      </c>
      <c r="G196" s="100">
        <v>59299.605286941092</v>
      </c>
      <c r="H196" s="100">
        <v>60783.561408827569</v>
      </c>
      <c r="I196" s="100">
        <v>62788.90751948487</v>
      </c>
    </row>
    <row r="197" spans="3:9">
      <c r="C197" s="101" t="s">
        <v>103</v>
      </c>
      <c r="D197" s="99">
        <v>0.7</v>
      </c>
      <c r="E197" s="100">
        <v>51331.608280880369</v>
      </c>
      <c r="F197" s="100">
        <v>53178.43339684797</v>
      </c>
      <c r="G197" s="100">
        <v>54582.020484983717</v>
      </c>
      <c r="H197" s="100">
        <v>55948.67107080001</v>
      </c>
      <c r="I197" s="100">
        <v>57795.496186767901</v>
      </c>
    </row>
    <row r="198" spans="3:9">
      <c r="D198" s="99">
        <v>0.65</v>
      </c>
      <c r="E198" s="100">
        <v>46893.020429576347</v>
      </c>
      <c r="F198" s="100">
        <v>48581.324550854581</v>
      </c>
      <c r="G198" s="100">
        <v>49864.435683026342</v>
      </c>
      <c r="H198" s="100">
        <v>51113.780732772451</v>
      </c>
      <c r="I198" s="100">
        <v>52802.084854050932</v>
      </c>
    </row>
    <row r="199" spans="3:9">
      <c r="D199" s="99">
        <v>0.6</v>
      </c>
      <c r="E199" s="100">
        <v>42454.432578272317</v>
      </c>
      <c r="F199" s="100">
        <v>43984.215704861184</v>
      </c>
      <c r="G199" s="100">
        <v>45146.850881068953</v>
      </c>
      <c r="H199" s="100">
        <v>46278.890394744885</v>
      </c>
      <c r="I199" s="100">
        <v>47808.673521333956</v>
      </c>
    </row>
    <row r="200" spans="3:9">
      <c r="D200" s="102"/>
      <c r="E200" s="100"/>
      <c r="F200" s="100"/>
      <c r="G200" s="100"/>
      <c r="H200" s="100"/>
      <c r="I200" s="100"/>
    </row>
    <row r="201" spans="3:9" ht="15.75" thickBot="1">
      <c r="C201" s="92" t="s">
        <v>153</v>
      </c>
      <c r="D201" s="92"/>
      <c r="E201" s="92"/>
      <c r="F201" s="92"/>
      <c r="G201" s="92"/>
      <c r="H201" s="92"/>
      <c r="I201" s="92"/>
    </row>
    <row r="202" spans="3:9">
      <c r="D202" s="102"/>
      <c r="E202" s="103" t="s">
        <v>145</v>
      </c>
      <c r="F202" s="104"/>
      <c r="G202" s="104"/>
      <c r="H202" s="104"/>
      <c r="I202" s="104"/>
    </row>
    <row r="203" spans="3:9" ht="15.75" thickBot="1">
      <c r="D203" s="105">
        <f ca="1">G181</f>
        <v>52.727774395883166</v>
      </c>
      <c r="E203" s="97">
        <v>1.8</v>
      </c>
      <c r="F203" s="97">
        <v>1.9</v>
      </c>
      <c r="G203" s="97">
        <v>1.976</v>
      </c>
      <c r="H203" s="97">
        <v>2.0499999999999998</v>
      </c>
      <c r="I203" s="97">
        <v>2.15</v>
      </c>
    </row>
    <row r="204" spans="3:9">
      <c r="D204" s="99">
        <v>0.85</v>
      </c>
      <c r="E204" s="106">
        <f t="dataTable" ref="E204:I209" dt2D="1" dtr="1" r1="G39" r2="G40" ca="1"/>
        <v>57.474021042592341</v>
      </c>
      <c r="F204" s="106">
        <v>59.538365963734464</v>
      </c>
      <c r="G204" s="106">
        <v>61.107268106362895</v>
      </c>
      <c r="H204" s="106">
        <v>62.634883352451482</v>
      </c>
      <c r="I204" s="106">
        <v>64.699228282411667</v>
      </c>
    </row>
    <row r="205" spans="3:9">
      <c r="C205" s="101" t="s">
        <v>101</v>
      </c>
      <c r="D205" s="99">
        <v>0.8</v>
      </c>
      <c r="E205" s="106">
        <v>53.528609739685201</v>
      </c>
      <c r="F205" s="106">
        <v>55.452047105785766</v>
      </c>
      <c r="G205" s="106">
        <v>56.913859506775374</v>
      </c>
      <c r="H205" s="106">
        <v>58.337203162466409</v>
      </c>
      <c r="I205" s="106">
        <v>60.260640538045109</v>
      </c>
    </row>
    <row r="206" spans="3:9">
      <c r="C206" s="101" t="s">
        <v>102</v>
      </c>
      <c r="D206" s="99">
        <v>0.75</v>
      </c>
      <c r="E206" s="106">
        <v>49.583198455955703</v>
      </c>
      <c r="F206" s="106">
        <v>51.365728266343027</v>
      </c>
      <c r="G206" s="106">
        <v>52.720450925212525</v>
      </c>
      <c r="H206" s="106">
        <v>54.039522990060867</v>
      </c>
      <c r="I206" s="106">
        <v>55.822052810690323</v>
      </c>
    </row>
    <row r="207" spans="3:9">
      <c r="C207" s="101" t="s">
        <v>103</v>
      </c>
      <c r="D207" s="99">
        <v>0.7</v>
      </c>
      <c r="E207" s="106">
        <v>45.637787196382448</v>
      </c>
      <c r="F207" s="106">
        <v>47.279409450206565</v>
      </c>
      <c r="G207" s="106">
        <v>48.527042366348986</v>
      </c>
      <c r="H207" s="106">
        <v>49.741842839793222</v>
      </c>
      <c r="I207" s="106">
        <v>51.383465104757498</v>
      </c>
    </row>
    <row r="208" spans="3:9">
      <c r="D208" s="99">
        <v>0.65</v>
      </c>
      <c r="E208" s="106">
        <v>41.692375967826422</v>
      </c>
      <c r="F208" s="106">
        <v>43.193090663994113</v>
      </c>
      <c r="G208" s="106">
        <v>44.333633836628771</v>
      </c>
      <c r="H208" s="106">
        <v>45.444162717946945</v>
      </c>
      <c r="I208" s="106">
        <v>46.944877426325391</v>
      </c>
    </row>
    <row r="209" spans="2:15">
      <c r="D209" s="99">
        <v>0.6</v>
      </c>
      <c r="E209" s="106">
        <v>37.746964780018608</v>
      </c>
      <c r="F209" s="106">
        <v>39.106771917090697</v>
      </c>
      <c r="G209" s="106">
        <v>40.140225345189997</v>
      </c>
      <c r="H209" s="106">
        <v>41.146482633431916</v>
      </c>
      <c r="I209" s="106">
        <v>42.506289784012978</v>
      </c>
    </row>
    <row r="211" spans="2:15">
      <c r="B211" s="1" t="s">
        <v>125</v>
      </c>
      <c r="C211" s="14" t="s">
        <v>104</v>
      </c>
      <c r="D211" s="14"/>
      <c r="E211" s="14"/>
      <c r="F211" s="14"/>
      <c r="G211" s="14"/>
      <c r="H211" s="14"/>
      <c r="I211" s="14"/>
      <c r="J211" s="14"/>
      <c r="K211" s="14"/>
    </row>
    <row r="212" spans="2:15" ht="15.75" thickBot="1"/>
    <row r="213" spans="2:15" ht="15.75" thickBot="1">
      <c r="C213" s="1" t="s">
        <v>105</v>
      </c>
      <c r="D213" s="107" t="str">
        <f>D12</f>
        <v>Base Case</v>
      </c>
    </row>
    <row r="214" spans="2:15" ht="15.75" thickBot="1">
      <c r="D214" s="108"/>
    </row>
    <row r="215" spans="2:15">
      <c r="D215" s="41"/>
      <c r="E215" s="41"/>
      <c r="F215" s="119" t="s">
        <v>106</v>
      </c>
      <c r="G215" s="42">
        <f t="shared" ref="G215:K216" si="90">G15</f>
        <v>2026</v>
      </c>
      <c r="H215" s="42">
        <f t="shared" si="90"/>
        <v>2027</v>
      </c>
      <c r="I215" s="42">
        <f t="shared" si="90"/>
        <v>2028</v>
      </c>
      <c r="J215" s="42">
        <f t="shared" si="90"/>
        <v>2029</v>
      </c>
      <c r="K215" s="42">
        <f t="shared" si="90"/>
        <v>2030</v>
      </c>
    </row>
    <row r="216" spans="2:15" ht="15.75" thickBot="1">
      <c r="D216" s="43"/>
      <c r="E216" s="43"/>
      <c r="F216" s="120" t="s">
        <v>107</v>
      </c>
      <c r="G216" s="43">
        <f t="shared" si="90"/>
        <v>46261</v>
      </c>
      <c r="H216" s="43">
        <f t="shared" si="90"/>
        <v>46625</v>
      </c>
      <c r="I216" s="43">
        <f t="shared" si="90"/>
        <v>46996</v>
      </c>
      <c r="J216" s="43">
        <f t="shared" si="90"/>
        <v>47360</v>
      </c>
      <c r="K216" s="43">
        <f t="shared" si="90"/>
        <v>47724</v>
      </c>
    </row>
    <row r="217" spans="2:15">
      <c r="C217" s="29" t="s">
        <v>140</v>
      </c>
      <c r="D217" s="30"/>
      <c r="E217" s="30"/>
      <c r="F217" s="109" t="str">
        <f t="shared" ref="F217:K218" ca="1" si="91">OFFSET(F$225,MATCH($C217,$C$225:$C$244,0)+MATCH($D$213,$C$226:$C$228,0)-1,0)</f>
        <v>NM</v>
      </c>
      <c r="G217" s="30">
        <f t="shared" ca="1" si="91"/>
        <v>88269.329999999987</v>
      </c>
      <c r="H217" s="30">
        <f t="shared" ca="1" si="91"/>
        <v>127107.83519999997</v>
      </c>
      <c r="I217" s="30">
        <f t="shared" ca="1" si="91"/>
        <v>128887.34489279997</v>
      </c>
      <c r="J217" s="30">
        <f t="shared" ca="1" si="91"/>
        <v>120831.88583699998</v>
      </c>
      <c r="K217" s="30">
        <f t="shared" ca="1" si="91"/>
        <v>130498.43670395999</v>
      </c>
      <c r="M217" s="110"/>
      <c r="N217" s="110"/>
      <c r="O217" s="110"/>
    </row>
    <row r="218" spans="2:15">
      <c r="C218" s="29" t="s">
        <v>141</v>
      </c>
      <c r="D218" s="30"/>
      <c r="E218" s="30"/>
      <c r="F218" s="109" t="str">
        <f t="shared" ca="1" si="91"/>
        <v>NM</v>
      </c>
      <c r="G218" s="30">
        <f t="shared" ca="1" si="91"/>
        <v>22100</v>
      </c>
      <c r="H218" s="30">
        <f t="shared" ca="1" si="91"/>
        <v>30497.999999999996</v>
      </c>
      <c r="I218" s="30">
        <f t="shared" ca="1" si="91"/>
        <v>29735.55</v>
      </c>
      <c r="J218" s="30">
        <f t="shared" ca="1" si="91"/>
        <v>27877.078125</v>
      </c>
      <c r="K218" s="30">
        <f t="shared" ca="1" si="91"/>
        <v>30107.244375000002</v>
      </c>
      <c r="M218" s="110"/>
      <c r="N218" s="110"/>
      <c r="O218" s="110"/>
    </row>
    <row r="219" spans="2:15">
      <c r="C219" s="29" t="s">
        <v>143</v>
      </c>
      <c r="D219" s="30"/>
      <c r="E219" s="30"/>
      <c r="F219" s="109" t="str">
        <f ca="1">IFERROR(OFFSET(F$226,MATCH($C219,$C$225:$C$244,0)+MATCH($D$213,$C$226:$C$228,0)-1,0),"N/A")</f>
        <v>N/A</v>
      </c>
      <c r="G219" s="30">
        <f ca="1">SUM(G217:G218)*1.008</f>
        <v>111252.28463999998</v>
      </c>
      <c r="H219" s="30">
        <f t="shared" ref="H219:K219" ca="1" si="92">SUM(H217:H218)*1.008</f>
        <v>158866.68188159997</v>
      </c>
      <c r="I219" s="30">
        <f t="shared" ca="1" si="92"/>
        <v>159891.87805194236</v>
      </c>
      <c r="J219" s="30">
        <f t="shared" ca="1" si="92"/>
        <v>149898.63567369597</v>
      </c>
      <c r="K219" s="30">
        <f t="shared" ca="1" si="92"/>
        <v>161890.52652759166</v>
      </c>
      <c r="M219" s="110"/>
      <c r="N219" s="110"/>
      <c r="O219" s="110"/>
    </row>
    <row r="220" spans="2:15">
      <c r="C220" s="29" t="s">
        <v>100</v>
      </c>
      <c r="D220" s="29"/>
      <c r="E220" s="29"/>
      <c r="F220" s="109" t="str">
        <f ca="1">IFERROR(OFFSET(F$226,MATCH($C220,$C$225:$C$244,0)+MATCH($D$213,$C$226:$C$228,0)-1,0),"N/A")</f>
        <v>N/A</v>
      </c>
      <c r="G220" s="54">
        <f ca="1">(G219/F18)-1</f>
        <v>1.9764108470223123</v>
      </c>
      <c r="H220" s="54">
        <f ca="1">H219/G219-1</f>
        <v>0.42798579279225479</v>
      </c>
      <c r="I220" s="54">
        <f t="shared" ref="I220:K220" ca="1" si="93">I219/H219-1</f>
        <v>6.4531855150500306E-3</v>
      </c>
      <c r="J220" s="54">
        <f t="shared" ca="1" si="93"/>
        <v>-6.2499999999999889E-2</v>
      </c>
      <c r="K220" s="54">
        <f t="shared" ca="1" si="93"/>
        <v>8.0000000000000071E-2</v>
      </c>
      <c r="M220" s="110"/>
      <c r="N220" s="110"/>
      <c r="O220" s="110"/>
    </row>
    <row r="221" spans="2:15">
      <c r="C221" s="29" t="s">
        <v>28</v>
      </c>
      <c r="F221" s="109" t="str">
        <f t="shared" ref="F221:K223" ca="1" si="94">OFFSET(F$225,MATCH($C221,$C$225:$C$244,0)+MATCH($D$213,$C$226:$C$228,0)-1,0)</f>
        <v>NM</v>
      </c>
      <c r="G221" s="54">
        <f t="shared" ca="1" si="94"/>
        <v>0.75</v>
      </c>
      <c r="H221" s="54">
        <f t="shared" ca="1" si="94"/>
        <v>0.8</v>
      </c>
      <c r="I221" s="54">
        <f t="shared" ca="1" si="94"/>
        <v>0.65</v>
      </c>
      <c r="J221" s="54">
        <f t="shared" ca="1" si="94"/>
        <v>0.55000000000000004</v>
      </c>
      <c r="K221" s="54">
        <f t="shared" ca="1" si="94"/>
        <v>0.5</v>
      </c>
      <c r="M221" s="110"/>
      <c r="N221" s="110"/>
      <c r="O221" s="110"/>
    </row>
    <row r="222" spans="2:15">
      <c r="C222" s="29" t="s">
        <v>29</v>
      </c>
      <c r="F222" s="109" t="str">
        <f t="shared" ca="1" si="94"/>
        <v>NM</v>
      </c>
      <c r="G222" s="54">
        <f t="shared" ca="1" si="94"/>
        <v>8.7999999999999995E-2</v>
      </c>
      <c r="H222" s="54">
        <f t="shared" ca="1" si="94"/>
        <v>9.2399999999999996E-2</v>
      </c>
      <c r="I222" s="54">
        <f t="shared" ca="1" si="94"/>
        <v>9.1999999999999998E-2</v>
      </c>
      <c r="J222" s="54">
        <f t="shared" ca="1" si="94"/>
        <v>9.1999999999999998E-2</v>
      </c>
      <c r="K222" s="54">
        <f t="shared" ca="1" si="94"/>
        <v>9.1999999999999998E-2</v>
      </c>
      <c r="M222" s="110"/>
      <c r="N222" s="110"/>
      <c r="O222" s="110"/>
    </row>
    <row r="223" spans="2:15">
      <c r="C223" s="29" t="s">
        <v>30</v>
      </c>
      <c r="F223" s="109" t="str">
        <f t="shared" ca="1" si="94"/>
        <v>NM</v>
      </c>
      <c r="G223" s="54">
        <f t="shared" ca="1" si="94"/>
        <v>2.5000000000000001E-2</v>
      </c>
      <c r="H223" s="54">
        <f t="shared" ca="1" si="94"/>
        <v>2.5000000000000001E-2</v>
      </c>
      <c r="I223" s="54">
        <f t="shared" ca="1" si="94"/>
        <v>2.5000000000000001E-2</v>
      </c>
      <c r="J223" s="54">
        <f t="shared" ca="1" si="94"/>
        <v>2.5000000000000001E-2</v>
      </c>
      <c r="K223" s="54">
        <f t="shared" ca="1" si="94"/>
        <v>2.5000000000000001E-2</v>
      </c>
      <c r="M223" s="110"/>
      <c r="N223" s="110"/>
      <c r="O223" s="110"/>
    </row>
    <row r="224" spans="2:15">
      <c r="F224" s="111"/>
    </row>
    <row r="225" spans="3:21">
      <c r="C225" s="53" t="s">
        <v>140</v>
      </c>
      <c r="F225" s="112"/>
    </row>
    <row r="226" spans="3:21">
      <c r="C226" s="83" t="s">
        <v>108</v>
      </c>
      <c r="F226" s="113">
        <v>1.1000000000000001</v>
      </c>
      <c r="G226" s="30">
        <f>G227*$F$226</f>
        <v>97096.262999999992</v>
      </c>
      <c r="H226" s="30">
        <f>H227*$F$226</f>
        <v>139818.61871999997</v>
      </c>
      <c r="I226" s="30">
        <f t="shared" ref="I226:K226" si="95">I227*$F$226</f>
        <v>141776.07938207997</v>
      </c>
      <c r="J226" s="30">
        <f t="shared" si="95"/>
        <v>132915.0744207</v>
      </c>
      <c r="K226" s="30">
        <f t="shared" si="95"/>
        <v>143548.28037435599</v>
      </c>
      <c r="S226" s="47"/>
      <c r="T226" s="47"/>
      <c r="U226" s="47"/>
    </row>
    <row r="227" spans="3:21">
      <c r="C227" s="83" t="s">
        <v>109</v>
      </c>
      <c r="F227" s="114" t="s">
        <v>110</v>
      </c>
      <c r="G227" s="115">
        <f>'Revenue Build'!G8</f>
        <v>88269.329999999987</v>
      </c>
      <c r="H227" s="115">
        <f>'Revenue Build'!H8</f>
        <v>127107.83519999997</v>
      </c>
      <c r="I227" s="115">
        <f>'Revenue Build'!I8</f>
        <v>128887.34489279997</v>
      </c>
      <c r="J227" s="115">
        <f>'Revenue Build'!J8</f>
        <v>120831.88583699998</v>
      </c>
      <c r="K227" s="115">
        <f>'Revenue Build'!K8</f>
        <v>130498.43670395999</v>
      </c>
      <c r="L227" s="33"/>
      <c r="N227" s="36"/>
      <c r="O227" s="36"/>
      <c r="P227" s="36"/>
      <c r="Q227" s="36"/>
      <c r="R227" s="36"/>
      <c r="S227" s="47"/>
      <c r="T227" s="47"/>
      <c r="U227" s="47"/>
    </row>
    <row r="228" spans="3:21">
      <c r="C228" s="83" t="s">
        <v>111</v>
      </c>
      <c r="F228" s="113">
        <v>0.75</v>
      </c>
      <c r="G228" s="30">
        <f>G227*$F$228</f>
        <v>66201.997499999998</v>
      </c>
      <c r="H228" s="30">
        <f>H227*$F$228</f>
        <v>95330.876399999979</v>
      </c>
      <c r="I228" s="30">
        <f>I227*$F$228</f>
        <v>96665.508669599978</v>
      </c>
      <c r="J228" s="30">
        <f>J227*$F$228</f>
        <v>90623.914377749985</v>
      </c>
      <c r="K228" s="30">
        <f>K227*$F$228</f>
        <v>97873.827527969988</v>
      </c>
      <c r="N228" s="36"/>
      <c r="O228" s="36"/>
      <c r="P228" s="36"/>
      <c r="Q228" s="36"/>
      <c r="R228" s="36"/>
      <c r="S228" s="47"/>
      <c r="T228" s="47"/>
      <c r="U228" s="47"/>
    </row>
    <row r="229" spans="3:21">
      <c r="C229" s="32" t="s">
        <v>141</v>
      </c>
      <c r="F229" s="116"/>
      <c r="G229" s="34"/>
      <c r="H229" s="34"/>
      <c r="I229" s="34"/>
      <c r="J229" s="34"/>
      <c r="K229" s="34"/>
      <c r="N229" s="36"/>
      <c r="O229" s="36"/>
      <c r="P229" s="36"/>
      <c r="Q229" s="36"/>
      <c r="R229" s="36"/>
      <c r="S229" s="47"/>
      <c r="T229" s="47"/>
      <c r="U229" s="47"/>
    </row>
    <row r="230" spans="3:21">
      <c r="C230" s="83" t="s">
        <v>108</v>
      </c>
      <c r="F230" s="113">
        <v>1.1000000000000001</v>
      </c>
      <c r="G230" s="30">
        <f>G231*$F$230</f>
        <v>24310.000000000004</v>
      </c>
      <c r="H230" s="30">
        <f>H231*$F$230</f>
        <v>33547.799999999996</v>
      </c>
      <c r="I230" s="30">
        <f t="shared" ref="I230:K230" si="96">I231*$F$230</f>
        <v>32709.105000000003</v>
      </c>
      <c r="J230" s="30">
        <f t="shared" si="96"/>
        <v>30664.785937500001</v>
      </c>
      <c r="K230" s="30">
        <f t="shared" si="96"/>
        <v>33117.968812500003</v>
      </c>
      <c r="N230" s="36"/>
      <c r="O230" s="36"/>
      <c r="P230" s="36"/>
      <c r="Q230" s="36"/>
      <c r="R230" s="36"/>
    </row>
    <row r="231" spans="3:21">
      <c r="C231" s="83" t="s">
        <v>109</v>
      </c>
      <c r="F231" s="114" t="s">
        <v>110</v>
      </c>
      <c r="G231" s="115">
        <f>'Revenue Build'!G9</f>
        <v>22100</v>
      </c>
      <c r="H231" s="115">
        <f>'Revenue Build'!H9</f>
        <v>30497.999999999996</v>
      </c>
      <c r="I231" s="115">
        <f>'Revenue Build'!I9</f>
        <v>29735.55</v>
      </c>
      <c r="J231" s="115">
        <f>'Revenue Build'!J9</f>
        <v>27877.078125</v>
      </c>
      <c r="K231" s="115">
        <f>'Revenue Build'!K9</f>
        <v>30107.244375000002</v>
      </c>
      <c r="L231" s="33"/>
      <c r="N231" s="36"/>
      <c r="O231" s="36"/>
      <c r="P231" s="36"/>
      <c r="Q231" s="36"/>
      <c r="R231" s="36"/>
    </row>
    <row r="232" spans="3:21">
      <c r="C232" s="83" t="s">
        <v>111</v>
      </c>
      <c r="F232" s="113">
        <v>0.75</v>
      </c>
      <c r="G232" s="30">
        <f>G231*$F$232</f>
        <v>16575</v>
      </c>
      <c r="H232" s="30">
        <f>H231*$F$232</f>
        <v>22873.499999999996</v>
      </c>
      <c r="I232" s="30">
        <f>I231*$F$232</f>
        <v>22301.662499999999</v>
      </c>
      <c r="J232" s="30">
        <f>J231*$F$232</f>
        <v>20907.80859375</v>
      </c>
      <c r="K232" s="30">
        <f>K231*$F$232</f>
        <v>22580.43328125</v>
      </c>
      <c r="N232" s="36"/>
      <c r="O232" s="36"/>
      <c r="P232" s="36"/>
      <c r="Q232" s="36"/>
      <c r="R232" s="36"/>
    </row>
    <row r="233" spans="3:21">
      <c r="C233" s="53" t="s">
        <v>28</v>
      </c>
      <c r="F233" s="114"/>
      <c r="G233" s="36"/>
      <c r="H233" s="36"/>
      <c r="I233" s="36"/>
      <c r="J233" s="36"/>
      <c r="K233" s="36"/>
      <c r="N233" s="36"/>
      <c r="O233" s="36"/>
      <c r="P233" s="36"/>
      <c r="Q233" s="36"/>
      <c r="R233" s="36"/>
    </row>
    <row r="234" spans="3:21">
      <c r="C234" s="83" t="s">
        <v>108</v>
      </c>
      <c r="F234" s="116">
        <v>0.05</v>
      </c>
      <c r="G234" s="34">
        <f>G235+$F$234</f>
        <v>0.8</v>
      </c>
      <c r="H234" s="34">
        <f t="shared" ref="H234:K234" si="97">H235+$F$234</f>
        <v>0.85000000000000009</v>
      </c>
      <c r="I234" s="34">
        <f t="shared" si="97"/>
        <v>0.70000000000000007</v>
      </c>
      <c r="J234" s="34">
        <f t="shared" si="97"/>
        <v>0.60000000000000009</v>
      </c>
      <c r="K234" s="34">
        <f t="shared" si="97"/>
        <v>0.55000000000000004</v>
      </c>
      <c r="L234" s="33"/>
    </row>
    <row r="235" spans="3:21">
      <c r="C235" s="83" t="s">
        <v>109</v>
      </c>
      <c r="F235" s="114" t="s">
        <v>110</v>
      </c>
      <c r="G235" s="36">
        <v>0.75</v>
      </c>
      <c r="H235" s="36">
        <v>0.8</v>
      </c>
      <c r="I235" s="36">
        <v>0.65</v>
      </c>
      <c r="J235" s="36">
        <v>0.55000000000000004</v>
      </c>
      <c r="K235" s="36">
        <v>0.5</v>
      </c>
      <c r="L235" s="33"/>
    </row>
    <row r="236" spans="3:21">
      <c r="C236" s="83" t="s">
        <v>111</v>
      </c>
      <c r="F236" s="116">
        <v>-0.1</v>
      </c>
      <c r="G236" s="34">
        <f>G235+$F$236</f>
        <v>0.65</v>
      </c>
      <c r="H236" s="34">
        <f>H235+$F$236</f>
        <v>0.70000000000000007</v>
      </c>
      <c r="I236" s="34">
        <f>I235+$F$236</f>
        <v>0.55000000000000004</v>
      </c>
      <c r="J236" s="34">
        <f>J235+$F$236</f>
        <v>0.45000000000000007</v>
      </c>
      <c r="K236" s="34">
        <f>K235+$F$236</f>
        <v>0.4</v>
      </c>
    </row>
    <row r="237" spans="3:21">
      <c r="C237" s="53" t="s">
        <v>29</v>
      </c>
      <c r="F237" s="114"/>
      <c r="G237" s="117"/>
      <c r="H237" s="117"/>
      <c r="I237" s="117"/>
      <c r="J237" s="117"/>
      <c r="K237" s="117"/>
    </row>
    <row r="238" spans="3:21">
      <c r="C238" s="83" t="s">
        <v>108</v>
      </c>
      <c r="F238" s="116">
        <v>-0.01</v>
      </c>
      <c r="G238" s="34">
        <f>G239+$F$238</f>
        <v>7.8E-2</v>
      </c>
      <c r="H238" s="34">
        <f t="shared" ref="H238:K238" si="98">H239+$F$238</f>
        <v>8.2400000000000001E-2</v>
      </c>
      <c r="I238" s="34">
        <f t="shared" si="98"/>
        <v>8.2000000000000003E-2</v>
      </c>
      <c r="J238" s="34">
        <f t="shared" si="98"/>
        <v>8.2000000000000003E-2</v>
      </c>
      <c r="K238" s="34">
        <f t="shared" si="98"/>
        <v>8.2000000000000003E-2</v>
      </c>
    </row>
    <row r="239" spans="3:21">
      <c r="C239" s="83" t="s">
        <v>109</v>
      </c>
      <c r="F239" s="114" t="s">
        <v>110</v>
      </c>
      <c r="G239" s="36">
        <v>8.7999999999999995E-2</v>
      </c>
      <c r="H239" s="36">
        <v>9.2399999999999996E-2</v>
      </c>
      <c r="I239" s="36">
        <v>9.1999999999999998E-2</v>
      </c>
      <c r="J239" s="36">
        <v>9.1999999999999998E-2</v>
      </c>
      <c r="K239" s="36">
        <v>9.1999999999999998E-2</v>
      </c>
    </row>
    <row r="240" spans="3:21">
      <c r="C240" s="83" t="s">
        <v>111</v>
      </c>
      <c r="F240" s="116">
        <v>0.01</v>
      </c>
      <c r="G240" s="34">
        <f>G239+$F$240</f>
        <v>9.799999999999999E-2</v>
      </c>
      <c r="H240" s="34">
        <f>H239+$F$240</f>
        <v>0.10239999999999999</v>
      </c>
      <c r="I240" s="34">
        <f>I239+$F$240</f>
        <v>0.10199999999999999</v>
      </c>
      <c r="J240" s="34">
        <f>J239+$F$240</f>
        <v>0.10199999999999999</v>
      </c>
      <c r="K240" s="34">
        <f>K239+$F$240</f>
        <v>0.10199999999999999</v>
      </c>
    </row>
    <row r="241" spans="3:11">
      <c r="C241" s="53" t="s">
        <v>30</v>
      </c>
      <c r="F241" s="114"/>
      <c r="G241" s="117"/>
      <c r="H241" s="117"/>
      <c r="I241" s="117"/>
      <c r="J241" s="117"/>
      <c r="K241" s="117"/>
    </row>
    <row r="242" spans="3:11">
      <c r="C242" s="83" t="s">
        <v>108</v>
      </c>
      <c r="F242" s="116">
        <v>-0.01</v>
      </c>
      <c r="G242" s="34">
        <f>G243+$F$242</f>
        <v>1.5000000000000001E-2</v>
      </c>
      <c r="H242" s="34">
        <f t="shared" ref="H242:K242" si="99">H243+$F$242</f>
        <v>1.5000000000000001E-2</v>
      </c>
      <c r="I242" s="34">
        <f t="shared" si="99"/>
        <v>1.5000000000000001E-2</v>
      </c>
      <c r="J242" s="34">
        <f t="shared" si="99"/>
        <v>1.5000000000000001E-2</v>
      </c>
      <c r="K242" s="34">
        <f t="shared" si="99"/>
        <v>1.5000000000000001E-2</v>
      </c>
    </row>
    <row r="243" spans="3:11">
      <c r="C243" s="83" t="s">
        <v>109</v>
      </c>
      <c r="F243" s="114" t="s">
        <v>110</v>
      </c>
      <c r="G243" s="36">
        <v>2.5000000000000001E-2</v>
      </c>
      <c r="H243" s="36">
        <v>2.5000000000000001E-2</v>
      </c>
      <c r="I243" s="36">
        <v>2.5000000000000001E-2</v>
      </c>
      <c r="J243" s="36">
        <v>2.5000000000000001E-2</v>
      </c>
      <c r="K243" s="36">
        <v>2.5000000000000001E-2</v>
      </c>
    </row>
    <row r="244" spans="3:11" ht="15.75" thickBot="1">
      <c r="C244" s="83" t="s">
        <v>111</v>
      </c>
      <c r="F244" s="118">
        <v>0.01</v>
      </c>
      <c r="G244" s="34">
        <f>G243+$F$244</f>
        <v>3.5000000000000003E-2</v>
      </c>
      <c r="H244" s="34">
        <f t="shared" ref="H244:K244" si="100">H243+$F$244</f>
        <v>3.5000000000000003E-2</v>
      </c>
      <c r="I244" s="34">
        <f t="shared" si="100"/>
        <v>3.5000000000000003E-2</v>
      </c>
      <c r="J244" s="34">
        <f t="shared" si="100"/>
        <v>3.5000000000000003E-2</v>
      </c>
      <c r="K244" s="34">
        <f t="shared" si="100"/>
        <v>3.5000000000000003E-2</v>
      </c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Case,Best Case"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H22" sqref="H22"/>
    </sheetView>
  </sheetViews>
  <sheetFormatPr defaultRowHeight="15"/>
  <cols>
    <col min="1" max="2" width="1.7109375" style="1" customWidth="1"/>
    <col min="3" max="3" width="27.5703125" style="1" bestFit="1" customWidth="1"/>
    <col min="4" max="16384" width="9.140625" style="1"/>
  </cols>
  <sheetData>
    <row r="2" spans="3:16">
      <c r="C2" s="14" t="s">
        <v>119</v>
      </c>
      <c r="D2" s="127"/>
      <c r="E2" s="15"/>
      <c r="F2" s="15"/>
      <c r="G2" s="15"/>
      <c r="H2" s="15"/>
      <c r="I2" s="15"/>
      <c r="J2" s="15"/>
      <c r="K2" s="15"/>
    </row>
    <row r="3" spans="3:16">
      <c r="C3" s="1" t="s">
        <v>8</v>
      </c>
      <c r="D3" s="41"/>
      <c r="E3" s="41">
        <v>2024</v>
      </c>
      <c r="F3" s="41">
        <v>2025</v>
      </c>
      <c r="G3" s="128">
        <v>2026</v>
      </c>
      <c r="H3" s="128">
        <f>G3+1</f>
        <v>2027</v>
      </c>
      <c r="I3" s="128">
        <f t="shared" ref="I3:K3" si="0">H3+1</f>
        <v>2028</v>
      </c>
      <c r="J3" s="128">
        <f t="shared" si="0"/>
        <v>2029</v>
      </c>
      <c r="K3" s="128">
        <f t="shared" si="0"/>
        <v>2030</v>
      </c>
    </row>
    <row r="4" spans="3:16">
      <c r="C4" s="20" t="s">
        <v>9</v>
      </c>
      <c r="D4" s="129"/>
      <c r="E4" s="129">
        <f>DATE(2025,8,28)-364</f>
        <v>45533</v>
      </c>
      <c r="F4" s="129">
        <f>'FSM Forecast'!D10</f>
        <v>45897</v>
      </c>
      <c r="G4" s="129">
        <f>DATE(2025,8,28)+364</f>
        <v>46261</v>
      </c>
      <c r="H4" s="129">
        <f>DATE(2026,8,27)+364</f>
        <v>46625</v>
      </c>
      <c r="I4" s="129">
        <f>DATE(2027,8,26)+371</f>
        <v>46996</v>
      </c>
      <c r="J4" s="129">
        <f>DATE(2028,8,31)+364</f>
        <v>47360</v>
      </c>
      <c r="K4" s="129">
        <f>DATE(2029,8,30)+364</f>
        <v>47724</v>
      </c>
    </row>
    <row r="5" spans="3:16">
      <c r="C5" s="130" t="s">
        <v>120</v>
      </c>
      <c r="D5" s="131"/>
      <c r="E5" s="131"/>
      <c r="F5" s="131"/>
      <c r="G5" s="131"/>
      <c r="H5" s="131"/>
      <c r="I5" s="131"/>
      <c r="J5" s="131"/>
      <c r="K5" s="131"/>
    </row>
    <row r="6" spans="3:16">
      <c r="C6" s="132" t="s">
        <v>121</v>
      </c>
      <c r="D6" s="6"/>
      <c r="E6" s="41"/>
      <c r="F6" s="133"/>
      <c r="G6" s="128"/>
      <c r="H6" s="41"/>
      <c r="I6" s="41"/>
      <c r="J6" s="41"/>
      <c r="K6" s="133"/>
    </row>
    <row r="7" spans="3:16">
      <c r="C7" s="29"/>
      <c r="D7" s="25"/>
      <c r="E7" s="129"/>
      <c r="F7" s="129"/>
      <c r="G7" s="134"/>
      <c r="H7" s="26"/>
      <c r="I7" s="26"/>
      <c r="J7" s="26"/>
      <c r="K7" s="135"/>
      <c r="O7" s="136"/>
      <c r="P7" s="136"/>
    </row>
    <row r="8" spans="3:16">
      <c r="C8" s="29" t="s">
        <v>148</v>
      </c>
      <c r="D8" s="25"/>
      <c r="E8" s="25">
        <v>17600</v>
      </c>
      <c r="F8" s="137">
        <v>28580</v>
      </c>
      <c r="G8" s="134">
        <f>F8*(1+G22)</f>
        <v>88269.329999999987</v>
      </c>
      <c r="H8" s="26">
        <f t="shared" ref="H8:K8" si="1">G8*(1+H22)</f>
        <v>127107.83519999997</v>
      </c>
      <c r="I8" s="26">
        <f t="shared" si="1"/>
        <v>128887.34489279997</v>
      </c>
      <c r="J8" s="26">
        <f t="shared" si="1"/>
        <v>120831.88583699998</v>
      </c>
      <c r="K8" s="135">
        <f t="shared" si="1"/>
        <v>130498.43670395999</v>
      </c>
      <c r="O8" s="47"/>
      <c r="P8" s="47"/>
    </row>
    <row r="9" spans="3:16">
      <c r="C9" s="29" t="s">
        <v>149</v>
      </c>
      <c r="D9" s="25"/>
      <c r="E9" s="25">
        <v>7230</v>
      </c>
      <c r="F9" s="25">
        <v>8500</v>
      </c>
      <c r="G9" s="134">
        <f>F9*(1+G23)</f>
        <v>22100</v>
      </c>
      <c r="H9" s="26">
        <f t="shared" ref="H9:K9" si="2">G9*(1+H23)</f>
        <v>30497.999999999996</v>
      </c>
      <c r="I9" s="26">
        <f t="shared" si="2"/>
        <v>29735.55</v>
      </c>
      <c r="J9" s="26">
        <f t="shared" si="2"/>
        <v>27877.078125</v>
      </c>
      <c r="K9" s="135">
        <f t="shared" si="2"/>
        <v>30107.244375000002</v>
      </c>
      <c r="O9" s="47"/>
      <c r="P9" s="47"/>
    </row>
    <row r="10" spans="3:16">
      <c r="C10" s="29" t="s">
        <v>151</v>
      </c>
      <c r="D10" s="25"/>
      <c r="E10" s="25">
        <f>SUM(E8:E9)</f>
        <v>24830</v>
      </c>
      <c r="F10" s="137">
        <f t="shared" ref="F10:K10" si="3">SUM(F8:F9)</f>
        <v>37080</v>
      </c>
      <c r="G10" s="26">
        <f t="shared" si="3"/>
        <v>110369.32999999999</v>
      </c>
      <c r="H10" s="26">
        <f t="shared" si="3"/>
        <v>157605.83519999997</v>
      </c>
      <c r="I10" s="26">
        <f t="shared" si="3"/>
        <v>158622.89489279996</v>
      </c>
      <c r="J10" s="26">
        <f t="shared" si="3"/>
        <v>148708.96396199998</v>
      </c>
      <c r="K10" s="135">
        <f t="shared" si="3"/>
        <v>160605.68107895998</v>
      </c>
      <c r="O10" s="47"/>
      <c r="P10" s="47"/>
    </row>
    <row r="11" spans="3:16">
      <c r="C11" s="29" t="s">
        <v>122</v>
      </c>
      <c r="E11" s="54"/>
      <c r="F11" s="138">
        <f>F10/E10-1</f>
        <v>0.49335481272654058</v>
      </c>
      <c r="G11" s="54">
        <f>G10/F10-1</f>
        <v>1.9765191477885651</v>
      </c>
      <c r="H11" s="54">
        <f t="shared" ref="H11:K11" si="4">H10/G10-1</f>
        <v>0.42798579279225479</v>
      </c>
      <c r="I11" s="54">
        <f t="shared" si="4"/>
        <v>6.4531855150500306E-3</v>
      </c>
      <c r="J11" s="54">
        <f t="shared" si="4"/>
        <v>-6.2499999999999889E-2</v>
      </c>
      <c r="K11" s="138">
        <f t="shared" si="4"/>
        <v>8.0000000000000071E-2</v>
      </c>
    </row>
    <row r="12" spans="3:16">
      <c r="C12" s="83"/>
      <c r="E12" s="54"/>
      <c r="F12" s="138"/>
      <c r="G12" s="54"/>
      <c r="H12" s="54"/>
      <c r="I12" s="54"/>
      <c r="J12" s="54"/>
      <c r="K12" s="138"/>
    </row>
    <row r="13" spans="3:16">
      <c r="C13" s="139" t="s">
        <v>155</v>
      </c>
      <c r="D13" s="65"/>
      <c r="E13" s="65"/>
      <c r="F13" s="140"/>
      <c r="G13" s="65"/>
      <c r="H13" s="65"/>
      <c r="I13" s="65"/>
      <c r="J13" s="65"/>
      <c r="K13" s="141"/>
    </row>
    <row r="14" spans="3:16">
      <c r="C14" s="29" t="s">
        <v>148</v>
      </c>
      <c r="D14" s="25"/>
      <c r="E14" s="25"/>
      <c r="F14" s="137"/>
      <c r="G14" s="142">
        <v>0.45</v>
      </c>
      <c r="H14" s="142">
        <v>0.2</v>
      </c>
      <c r="I14" s="142">
        <v>0.3</v>
      </c>
      <c r="J14" s="142">
        <v>0.25</v>
      </c>
      <c r="K14" s="143">
        <v>0.2</v>
      </c>
    </row>
    <row r="15" spans="3:16">
      <c r="C15" s="29" t="s">
        <v>149</v>
      </c>
      <c r="D15" s="25"/>
      <c r="E15" s="25"/>
      <c r="F15" s="137"/>
      <c r="G15" s="142">
        <v>0.3</v>
      </c>
      <c r="H15" s="142">
        <v>0.2</v>
      </c>
      <c r="I15" s="142">
        <v>0.3</v>
      </c>
      <c r="J15" s="142">
        <v>0.25</v>
      </c>
      <c r="K15" s="144">
        <v>0.2</v>
      </c>
    </row>
    <row r="16" spans="3:16">
      <c r="F16" s="141"/>
      <c r="K16" s="141"/>
    </row>
    <row r="17" spans="3:16">
      <c r="C17" s="139" t="s">
        <v>150</v>
      </c>
      <c r="D17" s="65"/>
      <c r="E17" s="65"/>
      <c r="F17" s="140"/>
      <c r="H17" s="65"/>
      <c r="I17" s="65"/>
      <c r="J17" s="65"/>
      <c r="K17" s="141"/>
      <c r="P17" s="47"/>
    </row>
    <row r="18" spans="3:16">
      <c r="C18" s="29" t="s">
        <v>148</v>
      </c>
      <c r="D18" s="145"/>
      <c r="E18" s="145"/>
      <c r="F18" s="146"/>
      <c r="G18" s="147">
        <v>1.1299999999999999</v>
      </c>
      <c r="H18" s="142">
        <v>0.2</v>
      </c>
      <c r="I18" s="142">
        <v>-0.22</v>
      </c>
      <c r="J18" s="142">
        <v>-0.25</v>
      </c>
      <c r="K18" s="143">
        <v>-0.1</v>
      </c>
      <c r="P18" s="47"/>
    </row>
    <row r="19" spans="3:16">
      <c r="C19" s="29" t="s">
        <v>149</v>
      </c>
      <c r="D19" s="145"/>
      <c r="E19" s="145"/>
      <c r="F19" s="145"/>
      <c r="G19" s="148">
        <v>1</v>
      </c>
      <c r="H19" s="142">
        <v>0.15</v>
      </c>
      <c r="I19" s="142">
        <v>-0.25</v>
      </c>
      <c r="J19" s="142">
        <v>-0.25</v>
      </c>
      <c r="K19" s="144">
        <v>-0.1</v>
      </c>
    </row>
    <row r="20" spans="3:16">
      <c r="C20" s="29"/>
      <c r="D20" s="145"/>
      <c r="E20" s="145"/>
      <c r="F20" s="145"/>
      <c r="G20" s="149"/>
      <c r="H20" s="150"/>
      <c r="I20" s="150"/>
      <c r="J20" s="150"/>
      <c r="K20" s="151"/>
    </row>
    <row r="21" spans="3:16">
      <c r="C21" s="139" t="s">
        <v>152</v>
      </c>
      <c r="D21" s="65"/>
      <c r="E21" s="65"/>
      <c r="F21" s="65"/>
      <c r="G21" s="152"/>
      <c r="H21" s="65"/>
      <c r="I21" s="65"/>
      <c r="J21" s="65"/>
      <c r="K21" s="140"/>
      <c r="P21" s="47"/>
    </row>
    <row r="22" spans="3:16">
      <c r="C22" s="29" t="s">
        <v>148</v>
      </c>
      <c r="D22" s="153"/>
      <c r="E22" s="34"/>
      <c r="F22" s="34"/>
      <c r="G22" s="154">
        <f>(1+G14)*(1+G18)-1</f>
        <v>2.0884999999999998</v>
      </c>
      <c r="H22" s="155">
        <f t="shared" ref="H22:K22" si="5">(1+H14)*(1+H18)-1</f>
        <v>0.43999999999999995</v>
      </c>
      <c r="I22" s="155">
        <f t="shared" si="5"/>
        <v>1.4000000000000012E-2</v>
      </c>
      <c r="J22" s="155">
        <f>(1+J14)*(1+J18)-1</f>
        <v>-6.25E-2</v>
      </c>
      <c r="K22" s="156">
        <f t="shared" si="5"/>
        <v>8.0000000000000071E-2</v>
      </c>
    </row>
    <row r="23" spans="3:16">
      <c r="C23" s="29" t="s">
        <v>149</v>
      </c>
      <c r="E23" s="34"/>
      <c r="F23" s="34"/>
      <c r="G23" s="154">
        <f>(1+G15)*(1+G19)-1</f>
        <v>1.6</v>
      </c>
      <c r="H23" s="155">
        <f t="shared" ref="H23:K23" si="6">(1+H15)*(1+H19)-1</f>
        <v>0.37999999999999989</v>
      </c>
      <c r="I23" s="155">
        <f t="shared" si="6"/>
        <v>-2.4999999999999911E-2</v>
      </c>
      <c r="J23" s="155">
        <f t="shared" si="6"/>
        <v>-6.25E-2</v>
      </c>
      <c r="K23" s="156">
        <f t="shared" si="6"/>
        <v>8.0000000000000071E-2</v>
      </c>
    </row>
    <row r="24" spans="3:16">
      <c r="C24" s="29"/>
      <c r="D24" s="153"/>
      <c r="E24" s="34"/>
      <c r="F24" s="34"/>
      <c r="G24" s="157"/>
      <c r="H24" s="34"/>
      <c r="I24" s="34"/>
      <c r="J24" s="34"/>
      <c r="K24" s="158"/>
    </row>
    <row r="25" spans="3:16">
      <c r="C25" s="83"/>
      <c r="G25" s="152"/>
      <c r="H25" s="65"/>
      <c r="I25" s="65"/>
      <c r="J25" s="65"/>
      <c r="K25" s="140"/>
      <c r="P25" s="4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8C4-CB1B-405D-8F0C-64FB8D1DC0BF}">
  <dimension ref="B1:R155"/>
  <sheetViews>
    <sheetView topLeftCell="A118" zoomScale="85" zoomScaleNormal="85" workbookViewId="0">
      <selection activeCell="E48" sqref="E48"/>
    </sheetView>
  </sheetViews>
  <sheetFormatPr defaultRowHeight="15"/>
  <cols>
    <col min="1" max="1" width="1.5703125" style="1" customWidth="1"/>
    <col min="2" max="2" width="1.7109375" style="1" customWidth="1"/>
    <col min="3" max="3" width="50.5703125" style="1" bestFit="1" customWidth="1"/>
    <col min="4" max="10" width="12.140625" style="1" customWidth="1"/>
    <col min="11" max="16384" width="9.140625" style="1"/>
  </cols>
  <sheetData>
    <row r="1" spans="2:11" ht="15.75" thickBot="1"/>
    <row r="2" spans="2:11" ht="18" thickBot="1">
      <c r="C2" s="198" t="s">
        <v>162</v>
      </c>
      <c r="D2" s="190"/>
      <c r="E2" s="190"/>
      <c r="F2" s="190"/>
      <c r="G2" s="190"/>
      <c r="H2" s="190"/>
      <c r="I2" s="190"/>
      <c r="J2" s="190"/>
    </row>
    <row r="3" spans="2:11">
      <c r="C3" s="4" t="s">
        <v>156</v>
      </c>
    </row>
    <row r="4" spans="2:11">
      <c r="C4" s="1" t="s">
        <v>163</v>
      </c>
      <c r="E4" s="159"/>
      <c r="G4" s="31" t="s">
        <v>164</v>
      </c>
      <c r="I4" s="160">
        <f ca="1">F51</f>
        <v>0.12647401960417828</v>
      </c>
      <c r="J4" s="1" t="s">
        <v>165</v>
      </c>
    </row>
    <row r="5" spans="2:11">
      <c r="C5" s="1" t="s">
        <v>166</v>
      </c>
      <c r="D5" s="161">
        <v>45897</v>
      </c>
      <c r="G5" s="31" t="s">
        <v>167</v>
      </c>
      <c r="I5" s="220">
        <f>'FSM Forecast'!D9</f>
        <v>895.88</v>
      </c>
    </row>
    <row r="6" spans="2:11">
      <c r="C6" s="1" t="s">
        <v>168</v>
      </c>
      <c r="D6" s="159"/>
      <c r="G6" s="31" t="s">
        <v>169</v>
      </c>
      <c r="I6" s="221">
        <f>'FSM Forecast'!D8</f>
        <v>46168</v>
      </c>
    </row>
    <row r="7" spans="2:11">
      <c r="C7" s="1" t="s">
        <v>170</v>
      </c>
      <c r="D7" s="159">
        <v>46168</v>
      </c>
      <c r="G7" s="31" t="s">
        <v>171</v>
      </c>
      <c r="I7" s="196">
        <v>1</v>
      </c>
      <c r="J7" s="197"/>
    </row>
    <row r="8" spans="2:11">
      <c r="C8" s="1" t="s">
        <v>172</v>
      </c>
      <c r="D8" s="163">
        <f>1-YEARFRAC(D7,D5)</f>
        <v>0.25555555555555554</v>
      </c>
      <c r="G8" s="31"/>
    </row>
    <row r="9" spans="2:11">
      <c r="E9" s="164"/>
      <c r="G9" s="31" t="s">
        <v>173</v>
      </c>
      <c r="H9" s="1" t="str">
        <f>'FSM Forecast'!D12</f>
        <v>Base Case</v>
      </c>
      <c r="I9" s="164"/>
    </row>
    <row r="10" spans="2:11">
      <c r="B10" s="1" t="s">
        <v>125</v>
      </c>
      <c r="C10" s="139" t="s">
        <v>174</v>
      </c>
      <c r="D10" s="65"/>
      <c r="E10" s="165"/>
      <c r="F10" s="121"/>
      <c r="G10" s="65"/>
      <c r="H10" s="65"/>
      <c r="I10" s="65"/>
      <c r="J10" s="65"/>
    </row>
    <row r="11" spans="2:11">
      <c r="C11" s="1" t="s">
        <v>8</v>
      </c>
      <c r="E11" s="16">
        <v>2025</v>
      </c>
      <c r="F11" s="17">
        <v>2026</v>
      </c>
      <c r="G11" s="17">
        <f>F11+1</f>
        <v>2027</v>
      </c>
      <c r="H11" s="17">
        <f>G11+1</f>
        <v>2028</v>
      </c>
      <c r="I11" s="17">
        <f>H11+1</f>
        <v>2029</v>
      </c>
      <c r="J11" s="17">
        <f>I11+1</f>
        <v>2030</v>
      </c>
    </row>
    <row r="12" spans="2:11">
      <c r="C12" s="18" t="s">
        <v>9</v>
      </c>
      <c r="D12" s="199"/>
      <c r="E12" s="19">
        <f>D5</f>
        <v>45897</v>
      </c>
      <c r="F12" s="19">
        <f>DATE(2025,8,28)+364</f>
        <v>46261</v>
      </c>
      <c r="G12" s="19">
        <f>DATE(2026,8,27)+364</f>
        <v>46625</v>
      </c>
      <c r="H12" s="19">
        <f>DATE(2027,8,26)+371</f>
        <v>46996</v>
      </c>
      <c r="I12" s="19">
        <f>DATE(2028,8,31)+364</f>
        <v>47360</v>
      </c>
      <c r="J12" s="19">
        <f>DATE(2029,8,30)+364</f>
        <v>47724</v>
      </c>
    </row>
    <row r="13" spans="2:11">
      <c r="C13" s="20"/>
      <c r="D13" s="20"/>
      <c r="E13" s="192"/>
      <c r="F13" s="200"/>
      <c r="G13" s="193"/>
      <c r="H13" s="193"/>
      <c r="I13" s="193"/>
      <c r="J13" s="193"/>
      <c r="K13" s="193"/>
    </row>
    <row r="14" spans="2:11">
      <c r="C14" s="1" t="s">
        <v>10</v>
      </c>
      <c r="E14" s="115">
        <f>'FSM Forecast'!F18</f>
        <v>37378</v>
      </c>
      <c r="F14" s="115">
        <f ca="1">'FSM Forecast'!G18</f>
        <v>111252.28463999998</v>
      </c>
      <c r="G14" s="115">
        <f ca="1">'FSM Forecast'!H18</f>
        <v>158866.68188159997</v>
      </c>
      <c r="H14" s="115">
        <f ca="1">'FSM Forecast'!I18</f>
        <v>159891.87805194236</v>
      </c>
      <c r="I14" s="115">
        <f ca="1">'FSM Forecast'!J18</f>
        <v>149898.63567369597</v>
      </c>
      <c r="J14" s="115">
        <f ca="1">'FSM Forecast'!K18</f>
        <v>161890.52652759166</v>
      </c>
    </row>
    <row r="15" spans="2:11">
      <c r="C15" s="29" t="s">
        <v>122</v>
      </c>
      <c r="D15" s="29"/>
      <c r="F15" s="163">
        <f ca="1">F14/E14-1</f>
        <v>1.9764108470223123</v>
      </c>
      <c r="G15" s="163">
        <f ca="1">G14/F14-1</f>
        <v>0.42798579279225479</v>
      </c>
      <c r="H15" s="163">
        <f ca="1">H14/G14-1</f>
        <v>6.4531855150500306E-3</v>
      </c>
      <c r="I15" s="163">
        <f ca="1">I14/H14-1</f>
        <v>-6.2499999999999889E-2</v>
      </c>
      <c r="J15" s="163">
        <f ca="1">J14/I14-1</f>
        <v>8.0000000000000071E-2</v>
      </c>
    </row>
    <row r="16" spans="2:11">
      <c r="C16" s="1" t="s">
        <v>23</v>
      </c>
      <c r="E16" s="115">
        <f>E18+E25</f>
        <v>9770</v>
      </c>
      <c r="F16" s="115">
        <f t="shared" ref="F16:J16" ca="1" si="0">F18+F25</f>
        <v>85908.354234443279</v>
      </c>
      <c r="G16" s="115">
        <f t="shared" ca="1" si="0"/>
        <v>131055.29019015652</v>
      </c>
      <c r="H16" s="115">
        <f t="shared" ca="1" si="0"/>
        <v>112304.95968279372</v>
      </c>
      <c r="I16" s="115">
        <f t="shared" ca="1" si="0"/>
        <v>93957.469045386781</v>
      </c>
      <c r="J16" s="115">
        <f t="shared" ca="1" si="0"/>
        <v>93048.686020138703</v>
      </c>
    </row>
    <row r="17" spans="3:10">
      <c r="C17" s="29" t="s">
        <v>175</v>
      </c>
      <c r="D17" s="29"/>
      <c r="E17" s="163">
        <f t="shared" ref="E17:J17" si="1">E16/E14</f>
        <v>0.26138370164267749</v>
      </c>
      <c r="F17" s="163">
        <f t="shared" ca="1" si="1"/>
        <v>0.77219406785607281</v>
      </c>
      <c r="G17" s="163">
        <f t="shared" ca="1" si="1"/>
        <v>0.82493880175472722</v>
      </c>
      <c r="H17" s="163">
        <f t="shared" ca="1" si="1"/>
        <v>0.70238064028687197</v>
      </c>
      <c r="I17" s="163">
        <f t="shared" ca="1" si="1"/>
        <v>0.62680669922784571</v>
      </c>
      <c r="J17" s="163">
        <f t="shared" ca="1" si="1"/>
        <v>0.57476300816329751</v>
      </c>
    </row>
    <row r="18" spans="3:10">
      <c r="C18" s="1" t="s">
        <v>176</v>
      </c>
      <c r="E18" s="167">
        <f>'FSM Forecast'!F25</f>
        <v>9770</v>
      </c>
      <c r="F18" s="167">
        <f ca="1">'FSM Forecast'!G25</f>
        <v>70867.705315679996</v>
      </c>
      <c r="G18" s="167">
        <f ca="1">'FSM Forecast'!H25</f>
        <v>108442.39705238015</v>
      </c>
      <c r="H18" s="167">
        <f ca="1">'FSM Forecast'!I25</f>
        <v>85222.371001685286</v>
      </c>
      <c r="I18" s="167">
        <f ca="1">'FSM Forecast'!J25</f>
        <v>64906.109246710359</v>
      </c>
      <c r="J18" s="167">
        <f ca="1">'FSM Forecast'!K25</f>
        <v>62004.071660067602</v>
      </c>
    </row>
    <row r="19" spans="3:10">
      <c r="C19" s="29" t="s">
        <v>175</v>
      </c>
      <c r="D19" s="29"/>
      <c r="E19" s="163">
        <f>E18/E14</f>
        <v>0.26138370164267749</v>
      </c>
      <c r="F19" s="163">
        <f t="shared" ref="F19:J19" ca="1" si="2">F18/F14</f>
        <v>0.63700000000000001</v>
      </c>
      <c r="G19" s="163">
        <f t="shared" ca="1" si="2"/>
        <v>0.6826000000000001</v>
      </c>
      <c r="H19" s="163">
        <f t="shared" ca="1" si="2"/>
        <v>0.53300000000000003</v>
      </c>
      <c r="I19" s="163">
        <f t="shared" ca="1" si="2"/>
        <v>0.433</v>
      </c>
      <c r="J19" s="163">
        <f t="shared" ca="1" si="2"/>
        <v>0.38299999999999995</v>
      </c>
    </row>
    <row r="20" spans="3:10">
      <c r="C20" s="29"/>
      <c r="D20" s="29"/>
      <c r="E20" s="115"/>
      <c r="F20" s="115"/>
      <c r="G20" s="115"/>
      <c r="H20" s="115"/>
      <c r="I20" s="115"/>
      <c r="J20" s="115"/>
    </row>
    <row r="21" spans="3:10">
      <c r="C21" s="1" t="s">
        <v>177</v>
      </c>
      <c r="E21" s="167">
        <f>E22*E18</f>
        <v>1137.5056971203646</v>
      </c>
      <c r="F21" s="167">
        <f t="shared" ref="F21:J21" ca="1" si="3">F22*F18</f>
        <v>11693.171377087199</v>
      </c>
      <c r="G21" s="167">
        <f t="shared" ca="1" si="3"/>
        <v>17892.995513642727</v>
      </c>
      <c r="H21" s="167">
        <f t="shared" ca="1" si="3"/>
        <v>14061.691215278073</v>
      </c>
      <c r="I21" s="167">
        <f t="shared" ca="1" si="3"/>
        <v>10709.50802570721</v>
      </c>
      <c r="J21" s="167">
        <f t="shared" ca="1" si="3"/>
        <v>10230.671823911154</v>
      </c>
    </row>
    <row r="22" spans="3:10">
      <c r="C22" s="29" t="s">
        <v>31</v>
      </c>
      <c r="D22" s="29"/>
      <c r="E22" s="201">
        <f>'FSM Forecast'!F44</f>
        <v>0.1164284234514191</v>
      </c>
      <c r="F22" s="201">
        <f>'FSM Forecast'!G44</f>
        <v>0.16500000000000001</v>
      </c>
      <c r="G22" s="201">
        <f>'FSM Forecast'!H44</f>
        <v>0.16500000000000001</v>
      </c>
      <c r="H22" s="201">
        <f>'FSM Forecast'!I44</f>
        <v>0.16500000000000001</v>
      </c>
      <c r="I22" s="201">
        <f>'FSM Forecast'!J44</f>
        <v>0.16500000000000001</v>
      </c>
      <c r="J22" s="201">
        <f>'FSM Forecast'!K44</f>
        <v>0.16500000000000001</v>
      </c>
    </row>
    <row r="23" spans="3:10">
      <c r="C23" s="27" t="s">
        <v>178</v>
      </c>
      <c r="D23" s="27"/>
      <c r="E23" s="168">
        <f t="shared" ref="E23:J23" si="4">E18*(1-E22)</f>
        <v>8632.4943028796351</v>
      </c>
      <c r="F23" s="168">
        <f t="shared" ca="1" si="4"/>
        <v>59174.533938592795</v>
      </c>
      <c r="G23" s="168">
        <f t="shared" ca="1" si="4"/>
        <v>90549.401538737424</v>
      </c>
      <c r="H23" s="168">
        <f t="shared" ca="1" si="4"/>
        <v>71160.679786407214</v>
      </c>
      <c r="I23" s="168">
        <f t="shared" ca="1" si="4"/>
        <v>54196.601221003148</v>
      </c>
      <c r="J23" s="168">
        <f t="shared" ca="1" si="4"/>
        <v>51773.399836156445</v>
      </c>
    </row>
    <row r="24" spans="3:10">
      <c r="E24" s="167"/>
      <c r="F24" s="167"/>
      <c r="G24" s="167"/>
      <c r="H24" s="167"/>
      <c r="I24" s="167"/>
      <c r="J24" s="167"/>
    </row>
    <row r="25" spans="3:10">
      <c r="C25" s="1" t="s">
        <v>22</v>
      </c>
      <c r="E25" s="115"/>
      <c r="F25" s="115">
        <f ca="1">'FSM Forecast'!G33</f>
        <v>15040.64891876328</v>
      </c>
      <c r="G25" s="115">
        <f ca="1">'FSM Forecast'!H33</f>
        <v>22612.893137776358</v>
      </c>
      <c r="H25" s="115">
        <f ca="1">'FSM Forecast'!I33</f>
        <v>27082.588681108438</v>
      </c>
      <c r="I25" s="115">
        <f ca="1">'FSM Forecast'!J33</f>
        <v>29051.359798676418</v>
      </c>
      <c r="J25" s="115">
        <f ca="1">'FSM Forecast'!K33</f>
        <v>31044.614360071104</v>
      </c>
    </row>
    <row r="26" spans="3:10">
      <c r="C26" s="1" t="s">
        <v>179</v>
      </c>
      <c r="E26" s="167"/>
      <c r="F26" s="167">
        <f ca="1">F32</f>
        <v>-17352.049260417087</v>
      </c>
      <c r="G26" s="167">
        <f t="shared" ref="G26:J26" ca="1" si="5">G32</f>
        <v>-11152.970490683463</v>
      </c>
      <c r="H26" s="167">
        <f t="shared" ca="1" si="5"/>
        <v>1145.7769662103929</v>
      </c>
      <c r="I26" s="167">
        <f t="shared" ca="1" si="5"/>
        <v>3049.3448516240023</v>
      </c>
      <c r="J26" s="167">
        <f t="shared" ca="1" si="5"/>
        <v>-2090.5700587743559</v>
      </c>
    </row>
    <row r="27" spans="3:10">
      <c r="C27" s="1" t="s">
        <v>56</v>
      </c>
      <c r="E27" s="115"/>
      <c r="F27" s="115">
        <f>'FSM Forecast'!G108</f>
        <v>26000</v>
      </c>
      <c r="G27" s="115">
        <f>'FSM Forecast'!H108</f>
        <v>36000</v>
      </c>
      <c r="H27" s="115">
        <f>'FSM Forecast'!I108</f>
        <v>40000</v>
      </c>
      <c r="I27" s="115">
        <f>'FSM Forecast'!J108</f>
        <v>40000</v>
      </c>
      <c r="J27" s="115">
        <f>'FSM Forecast'!K108</f>
        <v>40000</v>
      </c>
    </row>
    <row r="28" spans="3:10">
      <c r="C28" s="29" t="s">
        <v>73</v>
      </c>
      <c r="D28" s="29"/>
      <c r="E28" s="115"/>
      <c r="F28" s="163">
        <f ca="1">F27/F14</f>
        <v>0.23370306582137262</v>
      </c>
      <c r="G28" s="163">
        <f ca="1">G27/G14</f>
        <v>0.22660509789478733</v>
      </c>
      <c r="H28" s="163">
        <f ca="1">H27/H14</f>
        <v>0.25016905478466911</v>
      </c>
      <c r="I28" s="163">
        <f ca="1">I27/I14</f>
        <v>0.26684699177031368</v>
      </c>
      <c r="J28" s="163">
        <f ca="1">J27/J14</f>
        <v>0.24708054793547563</v>
      </c>
    </row>
    <row r="29" spans="3:10">
      <c r="E29" s="115"/>
      <c r="F29" s="115"/>
      <c r="G29" s="115"/>
      <c r="H29" s="115"/>
      <c r="I29" s="115"/>
      <c r="J29" s="115"/>
    </row>
    <row r="30" spans="3:10">
      <c r="C30" s="27" t="s">
        <v>180</v>
      </c>
      <c r="D30" s="27"/>
      <c r="E30" s="168"/>
      <c r="F30" s="168">
        <f ca="1">F23+F25+F26+F27</f>
        <v>82863.133596938991</v>
      </c>
      <c r="G30" s="168">
        <f ca="1">G23+G25+G26+G27</f>
        <v>138009.32418583031</v>
      </c>
      <c r="H30" s="168">
        <f ca="1">H23+H25+H26+H27</f>
        <v>139389.04543372605</v>
      </c>
      <c r="I30" s="168">
        <f ca="1">I23+I25+I26+I27</f>
        <v>126297.30587130357</v>
      </c>
      <c r="J30" s="168">
        <f ca="1">J23+J25+J26+J27</f>
        <v>120727.44413745319</v>
      </c>
    </row>
    <row r="31" spans="3:10">
      <c r="E31" s="115"/>
    </row>
    <row r="32" spans="3:10">
      <c r="C32" s="1" t="s">
        <v>181</v>
      </c>
      <c r="E32" s="115"/>
      <c r="F32" s="115">
        <f ca="1">'FSM Forecast'!G86+'FSM Forecast'!G87</f>
        <v>-17352.049260417087</v>
      </c>
      <c r="G32" s="115">
        <f ca="1">'FSM Forecast'!H86+'FSM Forecast'!H87</f>
        <v>-11152.970490683463</v>
      </c>
      <c r="H32" s="115">
        <f ca="1">'FSM Forecast'!I86+'FSM Forecast'!I87</f>
        <v>1145.7769662103929</v>
      </c>
      <c r="I32" s="115">
        <f ca="1">'FSM Forecast'!J86+'FSM Forecast'!J87</f>
        <v>3049.3448516240023</v>
      </c>
      <c r="J32" s="115">
        <f ca="1">'FSM Forecast'!K86+'FSM Forecast'!K87</f>
        <v>-2090.5700587743559</v>
      </c>
    </row>
    <row r="33" spans="2:11">
      <c r="B33" s="1" t="s">
        <v>125</v>
      </c>
      <c r="C33" s="29" t="s">
        <v>73</v>
      </c>
      <c r="D33" s="29"/>
      <c r="E33" s="163"/>
      <c r="F33" s="163">
        <f ca="1">F32/F14</f>
        <v>-0.15597027347857517</v>
      </c>
      <c r="G33" s="163">
        <f t="shared" ref="G33:J33" ca="1" si="6">G32/G14</f>
        <v>-7.0203332496083348E-2</v>
      </c>
      <c r="H33" s="163">
        <f t="shared" ca="1" si="6"/>
        <v>7.1659485157724934E-3</v>
      </c>
      <c r="I33" s="163">
        <f t="shared" ca="1" si="6"/>
        <v>2.0342712513153966E-2</v>
      </c>
      <c r="J33" s="163">
        <f t="shared" ca="1" si="6"/>
        <v>-1.2913479890486683E-2</v>
      </c>
    </row>
    <row r="34" spans="2:11">
      <c r="C34" s="29"/>
      <c r="D34" s="29"/>
      <c r="E34" s="163"/>
      <c r="F34" s="163"/>
      <c r="G34" s="163"/>
      <c r="H34" s="163"/>
      <c r="I34" s="163"/>
      <c r="J34" s="163"/>
    </row>
    <row r="35" spans="2:11">
      <c r="C35" s="203" t="s">
        <v>227</v>
      </c>
      <c r="D35" s="203"/>
      <c r="E35" s="203"/>
      <c r="F35" s="163"/>
      <c r="G35" s="163"/>
      <c r="H35" s="163"/>
      <c r="I35" s="163"/>
      <c r="J35" s="163"/>
    </row>
    <row r="36" spans="2:11">
      <c r="C36" s="204"/>
      <c r="D36" s="204"/>
      <c r="E36" s="204"/>
      <c r="F36" s="204"/>
      <c r="G36" s="163"/>
      <c r="H36" s="163"/>
      <c r="I36" s="163"/>
      <c r="J36" s="163"/>
      <c r="K36" s="163"/>
    </row>
    <row r="37" spans="2:11">
      <c r="C37" s="204" t="s">
        <v>228</v>
      </c>
      <c r="D37" s="204"/>
      <c r="E37" s="204"/>
      <c r="F37" s="205">
        <v>4.2630000000000001E-2</v>
      </c>
      <c r="G37" s="163"/>
      <c r="H37" s="163"/>
      <c r="I37" s="163"/>
      <c r="J37" s="163"/>
      <c r="K37" s="163"/>
    </row>
    <row r="38" spans="2:11">
      <c r="C38" s="204" t="s">
        <v>229</v>
      </c>
      <c r="D38" s="204"/>
      <c r="E38" s="204"/>
      <c r="F38" s="206">
        <v>1.7</v>
      </c>
      <c r="G38" s="163"/>
      <c r="H38" s="163"/>
      <c r="I38" s="163"/>
      <c r="J38" s="163"/>
      <c r="K38" s="163"/>
    </row>
    <row r="39" spans="2:11">
      <c r="C39" s="204" t="s">
        <v>230</v>
      </c>
      <c r="D39" s="204"/>
      <c r="E39" s="204"/>
      <c r="F39" s="205">
        <v>0.05</v>
      </c>
      <c r="G39" s="163"/>
      <c r="H39" s="163"/>
      <c r="I39" s="163"/>
      <c r="J39" s="163"/>
      <c r="K39" s="163"/>
    </row>
    <row r="40" spans="2:11">
      <c r="C40" s="207" t="s">
        <v>231</v>
      </c>
      <c r="D40" s="208"/>
      <c r="E40" s="209"/>
      <c r="F40" s="210">
        <f>F37+F38*F39</f>
        <v>0.12763000000000002</v>
      </c>
      <c r="G40" s="163"/>
      <c r="H40" s="163"/>
      <c r="I40" s="163"/>
      <c r="J40" s="163"/>
      <c r="K40" s="163"/>
    </row>
    <row r="41" spans="2:11">
      <c r="C41" s="204"/>
      <c r="D41" s="204"/>
      <c r="E41" s="204"/>
      <c r="F41" s="204"/>
      <c r="G41" s="163"/>
      <c r="H41" s="163"/>
      <c r="I41" s="163"/>
      <c r="J41" s="163"/>
      <c r="K41" s="163"/>
    </row>
    <row r="42" spans="2:11">
      <c r="C42" s="204" t="s">
        <v>232</v>
      </c>
      <c r="D42" s="204"/>
      <c r="E42" s="204"/>
      <c r="F42" s="219">
        <f>'FSM Forecast'!G164</f>
        <v>5.2499999999999998E-2</v>
      </c>
      <c r="G42" s="163"/>
      <c r="H42" s="163"/>
      <c r="I42" s="163"/>
      <c r="J42" s="163"/>
      <c r="K42" s="163"/>
    </row>
    <row r="43" spans="2:11">
      <c r="C43" s="204" t="s">
        <v>31</v>
      </c>
      <c r="D43" s="204"/>
      <c r="E43" s="204"/>
      <c r="F43" s="211">
        <f>'FSM Forecast'!G44</f>
        <v>0.16500000000000001</v>
      </c>
      <c r="G43" s="163"/>
      <c r="H43" s="163"/>
      <c r="I43" s="163"/>
      <c r="J43" s="163"/>
      <c r="K43" s="163"/>
    </row>
    <row r="44" spans="2:11">
      <c r="C44" s="207" t="s">
        <v>233</v>
      </c>
      <c r="D44" s="208"/>
      <c r="E44" s="208"/>
      <c r="F44" s="210">
        <f>F42*(1-F43)</f>
        <v>4.3837499999999995E-2</v>
      </c>
      <c r="G44" s="163"/>
      <c r="H44" s="163"/>
      <c r="I44" s="163"/>
      <c r="J44" s="163"/>
      <c r="K44" s="163"/>
    </row>
    <row r="45" spans="2:11">
      <c r="C45" s="204"/>
      <c r="D45" s="204"/>
      <c r="E45" s="204"/>
      <c r="F45" s="204"/>
      <c r="G45" s="163"/>
      <c r="H45" s="163"/>
      <c r="I45" s="163"/>
      <c r="J45" s="163"/>
      <c r="K45" s="163"/>
    </row>
    <row r="46" spans="2:11">
      <c r="C46" s="212" t="s">
        <v>234</v>
      </c>
      <c r="D46" s="204"/>
      <c r="E46" s="204"/>
      <c r="F46" s="204"/>
      <c r="G46" s="163"/>
      <c r="H46" s="163"/>
      <c r="I46" s="163"/>
      <c r="J46" s="163"/>
      <c r="K46" s="163"/>
    </row>
    <row r="47" spans="2:11">
      <c r="C47" s="213" t="s">
        <v>210</v>
      </c>
      <c r="D47" s="204"/>
      <c r="E47" s="214">
        <f ca="1">'FSM Forecast'!G161+'FSM Forecast'!G157</f>
        <v>14067</v>
      </c>
      <c r="F47" s="215">
        <f ca="1">E47/E49</f>
        <v>1.3795750166443752E-2</v>
      </c>
      <c r="G47" s="163"/>
      <c r="H47" s="163"/>
      <c r="I47" s="163"/>
      <c r="J47" s="163"/>
      <c r="K47" s="163"/>
    </row>
    <row r="48" spans="2:11">
      <c r="C48" s="213" t="s">
        <v>235</v>
      </c>
      <c r="D48" s="204"/>
      <c r="E48" s="214">
        <f>'FSM Forecast'!D11*I5</f>
        <v>1005594.8400799999</v>
      </c>
      <c r="F48" s="215">
        <f ca="1">E48/E49</f>
        <v>0.98620424983355626</v>
      </c>
      <c r="G48" s="163"/>
      <c r="H48" s="163"/>
      <c r="I48" s="163"/>
      <c r="J48" s="163"/>
      <c r="K48" s="163"/>
    </row>
    <row r="49" spans="3:11">
      <c r="C49" s="216" t="s">
        <v>236</v>
      </c>
      <c r="D49" s="208"/>
      <c r="E49" s="217">
        <f ca="1">SUM(E47:E48)</f>
        <v>1019661.8400799999</v>
      </c>
      <c r="F49" s="210">
        <f ca="1">SUM(F47:F48)</f>
        <v>1</v>
      </c>
      <c r="G49" s="163"/>
      <c r="H49" s="163"/>
      <c r="I49" s="163"/>
      <c r="J49" s="163"/>
      <c r="K49" s="163"/>
    </row>
    <row r="50" spans="3:11">
      <c r="C50" s="204"/>
      <c r="D50" s="204"/>
      <c r="E50" s="204"/>
      <c r="F50" s="218"/>
      <c r="G50" s="163"/>
      <c r="H50" s="163"/>
      <c r="I50" s="163"/>
      <c r="J50" s="163"/>
      <c r="K50" s="163"/>
    </row>
    <row r="51" spans="3:11" ht="15.75" thickBot="1">
      <c r="C51" s="202" t="s">
        <v>227</v>
      </c>
      <c r="D51" s="202"/>
      <c r="E51" s="202"/>
      <c r="F51" s="260">
        <f ca="1">F40*F48+F44*F47</f>
        <v>0.12647401960417828</v>
      </c>
      <c r="G51" s="163"/>
      <c r="H51" s="163"/>
      <c r="I51" s="163"/>
      <c r="J51" s="163"/>
      <c r="K51" s="163"/>
    </row>
    <row r="52" spans="3:11" ht="15.75" thickTop="1">
      <c r="C52" s="29"/>
      <c r="D52" s="29"/>
      <c r="F52" s="163"/>
      <c r="G52" s="163"/>
      <c r="H52" s="163"/>
      <c r="I52" s="163"/>
      <c r="J52" s="163"/>
      <c r="K52" s="163"/>
    </row>
    <row r="53" spans="3:11">
      <c r="C53" s="139" t="str">
        <f>"Present value of UFCF on "&amp;TEXT(D7,"mmm dd, yyyy")&amp;" valuation date"</f>
        <v>Present value of UFCF on May 26, 2026 valuation date</v>
      </c>
      <c r="D53" s="65"/>
      <c r="E53" s="169"/>
      <c r="F53" s="65"/>
      <c r="G53" s="169"/>
      <c r="H53" s="169"/>
      <c r="I53" s="169"/>
      <c r="J53" s="169"/>
    </row>
    <row r="54" spans="3:11" ht="17.25">
      <c r="C54" s="27"/>
      <c r="D54" s="192"/>
      <c r="E54" s="170" t="s">
        <v>182</v>
      </c>
      <c r="F54" s="170" t="s">
        <v>183</v>
      </c>
      <c r="G54" s="194" t="s">
        <v>184</v>
      </c>
      <c r="H54" s="194" t="s">
        <v>185</v>
      </c>
      <c r="I54" s="194" t="s">
        <v>186</v>
      </c>
      <c r="J54" s="194" t="s">
        <v>187</v>
      </c>
    </row>
    <row r="55" spans="3:11">
      <c r="C55" s="1" t="s">
        <v>188</v>
      </c>
      <c r="D55" s="192"/>
      <c r="E55" s="166">
        <f>D7</f>
        <v>46168</v>
      </c>
      <c r="F55" s="166">
        <f>IF($I$7=1,AVERAGE(F12,E55),F12)</f>
        <v>46214.5</v>
      </c>
      <c r="G55" s="166">
        <f>IF($I$7=1,AVERAGE(F12,G12),G12)</f>
        <v>46443</v>
      </c>
      <c r="H55" s="166">
        <f>IF($I$7=1,AVERAGE(G12,H12),H12)</f>
        <v>46810.5</v>
      </c>
      <c r="I55" s="166">
        <f>IF($I$7=1,AVERAGE(H12,I12),I12)</f>
        <v>47178</v>
      </c>
      <c r="J55" s="166">
        <f>IF($I$7=1,AVERAGE(I12,J12),J12)</f>
        <v>47542</v>
      </c>
    </row>
    <row r="56" spans="3:11">
      <c r="C56" s="1" t="s">
        <v>189</v>
      </c>
      <c r="D56" s="172">
        <f>D8</f>
        <v>0.25555555555555554</v>
      </c>
      <c r="E56" s="100"/>
      <c r="F56" s="173">
        <f ca="1">F30*D56</f>
        <v>21176.134141439961</v>
      </c>
      <c r="G56" s="173">
        <f ca="1">G30</f>
        <v>138009.32418583031</v>
      </c>
      <c r="H56" s="173">
        <f ca="1">H30</f>
        <v>139389.04543372605</v>
      </c>
      <c r="I56" s="173">
        <f ca="1">I30</f>
        <v>126297.30587130357</v>
      </c>
      <c r="J56" s="173">
        <f ca="1">J30</f>
        <v>120727.44413745319</v>
      </c>
    </row>
    <row r="57" spans="3:11">
      <c r="C57" s="27" t="s">
        <v>190</v>
      </c>
      <c r="D57" s="174"/>
      <c r="E57" s="168"/>
      <c r="F57" s="168">
        <f ca="1">F56/(1+$I$4)^((F55-$D$7)/365)</f>
        <v>20857.273821979907</v>
      </c>
      <c r="G57" s="168">
        <f ca="1">G56/(1+$I$4)^((G55-$D$7)/365)</f>
        <v>126165.44300942321</v>
      </c>
      <c r="H57" s="168">
        <f ca="1">H56/(1+$I$4)^((H55-$D$7)/365)</f>
        <v>113027.77990387862</v>
      </c>
      <c r="I57" s="168">
        <f ca="1">I56/(1+$I$4)^((I55-$D$7)/365)</f>
        <v>90839.598336597061</v>
      </c>
      <c r="J57" s="168">
        <f ca="1">J56/(1+$I$4)^((J55-$D$7)/365)</f>
        <v>77109.457435759279</v>
      </c>
    </row>
    <row r="59" spans="3:11">
      <c r="C59" s="139" t="s">
        <v>191</v>
      </c>
      <c r="D59" s="139"/>
      <c r="F59" s="139" t="s">
        <v>192</v>
      </c>
      <c r="G59" s="65"/>
      <c r="H59" s="65"/>
      <c r="I59" s="65"/>
      <c r="J59" s="65"/>
    </row>
    <row r="60" spans="3:11">
      <c r="C60" s="1" t="s">
        <v>193</v>
      </c>
      <c r="D60" s="55">
        <v>0.03</v>
      </c>
      <c r="F60" s="1" t="s">
        <v>194</v>
      </c>
      <c r="J60" s="100">
        <f ca="1">J16</f>
        <v>93048.686020138703</v>
      </c>
    </row>
    <row r="61" spans="3:11">
      <c r="C61" s="175" t="str">
        <f>YEAR(J12)&amp;" FCF x (1+g)"</f>
        <v>2030 FCF x (1+g)</v>
      </c>
      <c r="D61" s="100">
        <f ca="1">J56*(1+D60)</f>
        <v>124349.26746157679</v>
      </c>
      <c r="F61" s="1" t="s">
        <v>195</v>
      </c>
      <c r="J61" s="176">
        <v>13</v>
      </c>
    </row>
    <row r="62" spans="3:11">
      <c r="C62" s="1" t="str">
        <f>"Terminal value in "&amp;YEAR(J12)</f>
        <v>Terminal value in 2030</v>
      </c>
      <c r="D62" s="100">
        <f ca="1">D61/(I4-D60)</f>
        <v>1288940.4626423509</v>
      </c>
      <c r="F62" s="1" t="str">
        <f>"Terminal value in "&amp;YEAR(J12)</f>
        <v>Terminal value in 2030</v>
      </c>
      <c r="J62" s="100">
        <f ca="1">J60*J61</f>
        <v>1209632.9182618032</v>
      </c>
    </row>
    <row r="63" spans="3:11">
      <c r="C63" s="1" t="s">
        <v>196</v>
      </c>
      <c r="D63" s="100">
        <f ca="1">D62/(1+I4)^((J12-$E$55)/365)</f>
        <v>775791.03960603592</v>
      </c>
      <c r="F63" s="1" t="s">
        <v>196</v>
      </c>
      <c r="J63" s="100">
        <f ca="1">J62/(1+I4)^((J12-E55)/365)</f>
        <v>728057.19612232887</v>
      </c>
    </row>
    <row r="64" spans="3:11">
      <c r="C64" s="1" t="s">
        <v>197</v>
      </c>
      <c r="D64" s="167">
        <f ca="1">SUM(F57:J57)</f>
        <v>427999.552507638</v>
      </c>
      <c r="F64" s="1" t="s">
        <v>197</v>
      </c>
      <c r="J64" s="100">
        <f ca="1">D64</f>
        <v>427999.552507638</v>
      </c>
    </row>
    <row r="65" spans="3:10">
      <c r="C65" s="27" t="s">
        <v>198</v>
      </c>
      <c r="D65" s="177">
        <f ca="1">D64+D63</f>
        <v>1203790.5921136739</v>
      </c>
      <c r="F65" s="27" t="s">
        <v>199</v>
      </c>
      <c r="J65" s="177">
        <f ca="1">SUM(J63:J64)</f>
        <v>1156056.7486299668</v>
      </c>
    </row>
    <row r="67" spans="3:10">
      <c r="C67" s="178" t="s">
        <v>200</v>
      </c>
      <c r="D67" s="179">
        <f ca="1">D63/$D$65</f>
        <v>0.64445680560093466</v>
      </c>
      <c r="F67" s="178" t="s">
        <v>200</v>
      </c>
      <c r="J67" s="179">
        <f ca="1">+J63/J65</f>
        <v>0.62977634703931562</v>
      </c>
    </row>
    <row r="68" spans="3:10">
      <c r="C68" s="178" t="s">
        <v>201</v>
      </c>
      <c r="D68" s="179">
        <f ca="1">1-D67</f>
        <v>0.35554319439906534</v>
      </c>
      <c r="F68" s="178" t="s">
        <v>202</v>
      </c>
      <c r="H68" s="180"/>
      <c r="J68" s="60">
        <f ca="1">1-J67</f>
        <v>0.37022365296068438</v>
      </c>
    </row>
    <row r="69" spans="3:10">
      <c r="C69" s="178" t="s">
        <v>203</v>
      </c>
      <c r="D69" s="181">
        <f ca="1">(D62/J16)</f>
        <v>13.852323098505476</v>
      </c>
      <c r="F69" s="1" t="s">
        <v>204</v>
      </c>
      <c r="J69" s="182">
        <f ca="1">(I4-J56/J62)/(1+J56/J62)</f>
        <v>2.4248838279028635E-2</v>
      </c>
    </row>
    <row r="70" spans="3:10">
      <c r="C70" s="178"/>
      <c r="D70" s="20"/>
      <c r="E70" s="181"/>
      <c r="J70" s="182"/>
    </row>
    <row r="71" spans="3:10">
      <c r="C71" s="139" t="s">
        <v>205</v>
      </c>
      <c r="D71" s="65"/>
      <c r="F71" s="27"/>
      <c r="H71" s="27"/>
    </row>
    <row r="72" spans="3:10">
      <c r="C72" s="1" t="s">
        <v>207</v>
      </c>
      <c r="D72" s="162" t="s">
        <v>237</v>
      </c>
    </row>
    <row r="73" spans="3:10">
      <c r="C73" s="31" t="s">
        <v>208</v>
      </c>
      <c r="D73" s="171">
        <f>D7</f>
        <v>46168</v>
      </c>
      <c r="H73" s="33"/>
      <c r="I73" s="226"/>
      <c r="J73" s="226"/>
    </row>
    <row r="74" spans="3:10">
      <c r="C74" s="183" t="s">
        <v>209</v>
      </c>
      <c r="D74" s="184"/>
      <c r="H74" s="162"/>
      <c r="I74" s="162"/>
      <c r="J74" s="227"/>
    </row>
    <row r="75" spans="3:10">
      <c r="C75" s="29" t="s">
        <v>210</v>
      </c>
      <c r="D75" s="25">
        <v>10059</v>
      </c>
      <c r="F75" s="31"/>
      <c r="H75" s="162"/>
      <c r="I75" s="162"/>
      <c r="J75" s="227"/>
    </row>
    <row r="76" spans="3:10">
      <c r="C76" s="29" t="s">
        <v>211</v>
      </c>
      <c r="D76" s="25">
        <v>0</v>
      </c>
      <c r="F76" s="31"/>
      <c r="H76" s="162"/>
      <c r="I76" s="162"/>
      <c r="J76" s="228"/>
    </row>
    <row r="77" spans="3:10">
      <c r="C77" s="29" t="s">
        <v>212</v>
      </c>
      <c r="D77" s="25">
        <v>0</v>
      </c>
      <c r="H77" s="162"/>
      <c r="I77" s="162"/>
      <c r="J77" s="228"/>
    </row>
    <row r="78" spans="3:10">
      <c r="C78" s="185" t="s">
        <v>213</v>
      </c>
      <c r="D78" s="25">
        <v>0</v>
      </c>
      <c r="H78" s="162"/>
      <c r="I78" s="162"/>
      <c r="J78" s="228"/>
    </row>
    <row r="79" spans="3:10">
      <c r="C79" s="183" t="s">
        <v>214</v>
      </c>
    </row>
    <row r="80" spans="3:10">
      <c r="C80" s="186" t="s">
        <v>216</v>
      </c>
      <c r="D80" s="25">
        <v>16700</v>
      </c>
    </row>
    <row r="81" spans="2:5">
      <c r="C81" s="186" t="s">
        <v>217</v>
      </c>
      <c r="D81" s="25">
        <v>183</v>
      </c>
    </row>
    <row r="83" spans="2:5">
      <c r="B83" s="1" t="s">
        <v>125</v>
      </c>
      <c r="C83" s="224" t="s">
        <v>205</v>
      </c>
      <c r="D83" s="225">
        <f>SUM(D75:D78)-SUM(D80:D81)</f>
        <v>-6824</v>
      </c>
    </row>
    <row r="84" spans="2:5">
      <c r="C84" s="187"/>
      <c r="D84" s="44"/>
    </row>
    <row r="85" spans="2:5">
      <c r="C85" s="223" t="s">
        <v>215</v>
      </c>
      <c r="D85" s="229">
        <f ca="1">'FSM Forecast'!G180</f>
        <v>1124.7932398291134</v>
      </c>
    </row>
    <row r="87" spans="2:5">
      <c r="C87" s="139" t="s">
        <v>218</v>
      </c>
      <c r="D87" s="65"/>
      <c r="E87" s="65"/>
    </row>
    <row r="88" spans="2:5" ht="17.25">
      <c r="D88" s="191" t="s">
        <v>219</v>
      </c>
      <c r="E88" s="191" t="s">
        <v>23</v>
      </c>
    </row>
    <row r="89" spans="2:5">
      <c r="C89" s="1" t="s">
        <v>220</v>
      </c>
      <c r="D89" s="230">
        <f ca="1">D65</f>
        <v>1203790.5921136739</v>
      </c>
      <c r="E89" s="230">
        <f ca="1">J65</f>
        <v>1156056.7486299668</v>
      </c>
    </row>
    <row r="90" spans="2:5">
      <c r="C90" s="1" t="s">
        <v>205</v>
      </c>
      <c r="D90" s="188">
        <f>$D$83</f>
        <v>-6824</v>
      </c>
      <c r="E90" s="188">
        <f t="shared" ref="E90" si="7">$D$83</f>
        <v>-6824</v>
      </c>
    </row>
    <row r="91" spans="2:5">
      <c r="C91" s="1" t="s">
        <v>221</v>
      </c>
      <c r="D91" s="231">
        <f ca="1">D89-D90</f>
        <v>1210614.5921136739</v>
      </c>
      <c r="E91" s="231">
        <f ca="1">E89-E90</f>
        <v>1162880.7486299668</v>
      </c>
    </row>
    <row r="92" spans="2:5">
      <c r="C92" s="1" t="s">
        <v>206</v>
      </c>
      <c r="D92" s="231">
        <f ca="1">$D$85</f>
        <v>1124.7932398291134</v>
      </c>
      <c r="E92" s="231">
        <f t="shared" ref="E92" ca="1" si="8">$D$85</f>
        <v>1124.7932398291134</v>
      </c>
    </row>
    <row r="93" spans="2:5">
      <c r="C93" s="14" t="s">
        <v>222</v>
      </c>
      <c r="D93" s="195">
        <f ca="1">D91/D92</f>
        <v>1076.2996693486521</v>
      </c>
      <c r="E93" s="195">
        <f ca="1">E91/E92</f>
        <v>1033.86178672859</v>
      </c>
    </row>
    <row r="95" spans="2:5" ht="17.25">
      <c r="C95" s="167"/>
      <c r="D95" s="234" t="s">
        <v>238</v>
      </c>
      <c r="E95" s="234"/>
    </row>
    <row r="96" spans="2:5">
      <c r="C96" s="33"/>
      <c r="D96" s="125" t="s">
        <v>219</v>
      </c>
      <c r="E96" s="125" t="s">
        <v>23</v>
      </c>
    </row>
    <row r="97" spans="3:18">
      <c r="C97" s="1" t="s">
        <v>223</v>
      </c>
      <c r="D97" s="232">
        <f ca="1">D89/$F$14</f>
        <v>10.82036738399581</v>
      </c>
      <c r="E97" s="232">
        <f ca="1">E89/$F$14</f>
        <v>10.391307939165813</v>
      </c>
    </row>
    <row r="98" spans="3:18">
      <c r="C98" s="1" t="s">
        <v>224</v>
      </c>
      <c r="D98" s="232">
        <f ca="1">D89/$F$16</f>
        <v>14.012497420548158</v>
      </c>
      <c r="E98" s="232">
        <f ca="1">E89/$F$16</f>
        <v>13.456860615384345</v>
      </c>
    </row>
    <row r="99" spans="3:18">
      <c r="C99" s="222" t="s">
        <v>225</v>
      </c>
      <c r="D99" s="233">
        <f ca="1">D89/$F$18</f>
        <v>16.986448012552291</v>
      </c>
      <c r="E99" s="233">
        <f ca="1">E89/$F$18</f>
        <v>16.312885304812895</v>
      </c>
    </row>
    <row r="100" spans="3:18" ht="17.25">
      <c r="C100" s="167"/>
      <c r="D100" s="234" t="s">
        <v>226</v>
      </c>
      <c r="E100" s="234"/>
      <c r="F100" s="189"/>
      <c r="G100" s="189"/>
    </row>
    <row r="101" spans="3:18">
      <c r="C101" s="33"/>
      <c r="D101" s="125" t="s">
        <v>219</v>
      </c>
      <c r="E101" s="125" t="s">
        <v>23</v>
      </c>
      <c r="F101" s="189"/>
      <c r="G101" s="189"/>
    </row>
    <row r="102" spans="3:18">
      <c r="C102" s="1" t="s">
        <v>223</v>
      </c>
      <c r="D102" s="232">
        <f ca="1">D89/$F$14</f>
        <v>10.82036738399581</v>
      </c>
      <c r="E102" s="232">
        <f ca="1">E89/$F$14</f>
        <v>10.391307939165813</v>
      </c>
      <c r="F102" s="189"/>
      <c r="G102" s="189"/>
    </row>
    <row r="103" spans="3:18">
      <c r="C103" s="1" t="s">
        <v>224</v>
      </c>
      <c r="D103" s="232">
        <f ca="1">D89/$F$16</f>
        <v>14.012497420548158</v>
      </c>
      <c r="E103" s="232">
        <f ca="1">E89/$F$16</f>
        <v>13.456860615384345</v>
      </c>
      <c r="F103" s="189"/>
      <c r="G103" s="189"/>
    </row>
    <row r="104" spans="3:18">
      <c r="C104" s="222" t="s">
        <v>225</v>
      </c>
      <c r="D104" s="233">
        <f ca="1">D89/$F$18</f>
        <v>16.986448012552291</v>
      </c>
      <c r="E104" s="233">
        <f ca="1">E89/$F$18</f>
        <v>16.312885304812895</v>
      </c>
      <c r="F104" s="189"/>
      <c r="G104" s="189"/>
    </row>
    <row r="106" spans="3:18">
      <c r="C106" s="249" t="s">
        <v>239</v>
      </c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</row>
    <row r="108" spans="3:18">
      <c r="E108" s="247"/>
      <c r="F108" s="246" t="s">
        <v>243</v>
      </c>
      <c r="G108" s="246"/>
      <c r="H108" s="246"/>
      <c r="I108" s="246"/>
      <c r="J108" s="246"/>
      <c r="M108" s="247"/>
      <c r="N108" s="246" t="s">
        <v>244</v>
      </c>
      <c r="O108" s="246"/>
      <c r="P108" s="246"/>
      <c r="Q108" s="246"/>
      <c r="R108" s="246"/>
    </row>
    <row r="109" spans="3:18">
      <c r="E109" s="236"/>
      <c r="F109" s="236" t="s">
        <v>242</v>
      </c>
      <c r="G109" s="236"/>
      <c r="H109" s="236"/>
      <c r="I109" s="236"/>
      <c r="J109" s="236"/>
      <c r="N109" s="236" t="s">
        <v>242</v>
      </c>
      <c r="O109" s="236"/>
      <c r="P109" s="236"/>
      <c r="Q109" s="236"/>
      <c r="R109" s="236"/>
    </row>
    <row r="110" spans="3:18">
      <c r="E110" s="235">
        <f ca="1">D93</f>
        <v>1076.2996693486521</v>
      </c>
      <c r="F110" s="244">
        <f>G110-0.005</f>
        <v>1.9999999999999997E-2</v>
      </c>
      <c r="G110" s="244">
        <f>H110-0.005</f>
        <v>2.4999999999999998E-2</v>
      </c>
      <c r="H110" s="245">
        <v>0.03</v>
      </c>
      <c r="I110" s="244">
        <f>H110+0.005</f>
        <v>3.4999999999999996E-2</v>
      </c>
      <c r="J110" s="244">
        <f>I110+0.005</f>
        <v>3.9999999999999994E-2</v>
      </c>
      <c r="M110" s="243">
        <f ca="1">D103</f>
        <v>14.012497420548158</v>
      </c>
      <c r="N110" s="237">
        <f>O110-0.005</f>
        <v>1.9999999999999997E-2</v>
      </c>
      <c r="O110" s="237">
        <f>P110-0.005</f>
        <v>2.4999999999999998E-2</v>
      </c>
      <c r="P110" s="238">
        <v>0.03</v>
      </c>
      <c r="Q110" s="237">
        <f>P110+0.005</f>
        <v>3.4999999999999996E-2</v>
      </c>
      <c r="R110" s="237">
        <f>Q110+0.005</f>
        <v>3.9999999999999994E-2</v>
      </c>
    </row>
    <row r="111" spans="3:18">
      <c r="E111" s="239">
        <f>E112+0.005</f>
        <v>0.13600000000000001</v>
      </c>
      <c r="F111" s="241">
        <f t="dataTable" ref="F111:J115" dt2D="1" dtr="1" r1="D60" r2="I4" ca="1"/>
        <v>928.39449965650249</v>
      </c>
      <c r="G111" s="241">
        <v>955.88749708293028</v>
      </c>
      <c r="H111" s="241">
        <v>985.9741735118514</v>
      </c>
      <c r="I111" s="241">
        <v>1019.0397287951211</v>
      </c>
      <c r="J111" s="241">
        <v>1055.5496127537313</v>
      </c>
      <c r="M111" s="239">
        <f>M112+0.005</f>
        <v>0.13600000000000001</v>
      </c>
      <c r="N111" s="232">
        <f t="dataTable" ref="N111:R115" dt2D="1" dtr="1" r1="D60" r2="F51" ca="1"/>
        <v>12.075983370337104</v>
      </c>
      <c r="O111" s="232">
        <v>12.435947636018344</v>
      </c>
      <c r="P111" s="232">
        <v>12.829870794688381</v>
      </c>
      <c r="Q111" s="232">
        <v>13.262796246296046</v>
      </c>
      <c r="R111" s="232">
        <v>13.74081809911284</v>
      </c>
    </row>
    <row r="112" spans="3:18">
      <c r="E112" s="239">
        <f>E113+0.005</f>
        <v>0.13100000000000001</v>
      </c>
      <c r="F112" s="241">
        <v>967.1858190675307</v>
      </c>
      <c r="G112" s="241">
        <v>997.70868133984732</v>
      </c>
      <c r="H112" s="241">
        <v>1031.2536091836805</v>
      </c>
      <c r="I112" s="241">
        <v>1068.2928003445795</v>
      </c>
      <c r="J112" s="241">
        <v>1109.4022322923906</v>
      </c>
      <c r="M112" s="239">
        <f>M113+0.005</f>
        <v>0.13100000000000001</v>
      </c>
      <c r="N112" s="232">
        <v>12.583875928940943</v>
      </c>
      <c r="O112" s="232">
        <v>12.983510044273258</v>
      </c>
      <c r="P112" s="232">
        <v>13.422711893796892</v>
      </c>
      <c r="Q112" s="232">
        <v>13.907663935979235</v>
      </c>
      <c r="R112" s="232">
        <v>14.445907411368431</v>
      </c>
    </row>
    <row r="113" spans="4:18">
      <c r="D113" s="1" t="s">
        <v>240</v>
      </c>
      <c r="E113" s="240">
        <v>0.126</v>
      </c>
      <c r="F113" s="241">
        <v>1009.6519248838873</v>
      </c>
      <c r="G113" s="241">
        <v>1043.6853454093064</v>
      </c>
      <c r="H113" s="241">
        <v>1081.2639139061232</v>
      </c>
      <c r="I113" s="241">
        <v>1122.9719954245686</v>
      </c>
      <c r="J113" s="241">
        <v>1169.5298538637628</v>
      </c>
      <c r="L113" s="1" t="s">
        <v>240</v>
      </c>
      <c r="M113" s="240">
        <v>0.126</v>
      </c>
      <c r="N113" s="232">
        <v>13.139882258823063</v>
      </c>
      <c r="O113" s="232">
        <v>13.58547991549316</v>
      </c>
      <c r="P113" s="232">
        <v>14.077493994733063</v>
      </c>
      <c r="Q113" s="232">
        <v>14.62357555520812</v>
      </c>
      <c r="R113" s="232">
        <v>15.233154971552366</v>
      </c>
    </row>
    <row r="114" spans="4:18">
      <c r="E114" s="239">
        <f>E113-0.005</f>
        <v>0.121</v>
      </c>
      <c r="F114" s="241">
        <v>1056.3398703361722</v>
      </c>
      <c r="G114" s="241">
        <v>1094.4681238887908</v>
      </c>
      <c r="H114" s="241">
        <v>1136.7862954142247</v>
      </c>
      <c r="I114" s="241">
        <v>1184.0251845588953</v>
      </c>
      <c r="J114" s="241">
        <v>1237.0960353263642</v>
      </c>
      <c r="M114" s="239">
        <f>M113-0.005</f>
        <v>0.121</v>
      </c>
      <c r="N114" s="232">
        <v>13.751164897097441</v>
      </c>
      <c r="O114" s="232">
        <v>14.250375971790353</v>
      </c>
      <c r="P114" s="232">
        <v>14.80444540633963</v>
      </c>
      <c r="Q114" s="232">
        <v>15.422941519324869</v>
      </c>
      <c r="R114" s="232">
        <v>16.117795177123099</v>
      </c>
    </row>
    <row r="115" spans="4:18">
      <c r="E115" s="239">
        <v>0.11600000000000001</v>
      </c>
      <c r="F115" s="241">
        <v>1107.9107420937071</v>
      </c>
      <c r="G115" s="241">
        <v>1150.8507151939143</v>
      </c>
      <c r="H115" s="241">
        <v>1198.7837084220525</v>
      </c>
      <c r="I115" s="241">
        <v>1252.6343551351458</v>
      </c>
      <c r="J115" s="241">
        <v>1313.5706132578571</v>
      </c>
      <c r="M115" s="239">
        <v>0.11600000000000001</v>
      </c>
      <c r="N115" s="232">
        <v>14.426379414263838</v>
      </c>
      <c r="O115" s="232">
        <v>14.988590061784222</v>
      </c>
      <c r="P115" s="232">
        <v>15.616174040411632</v>
      </c>
      <c r="Q115" s="232">
        <v>16.321237522573281</v>
      </c>
      <c r="R115" s="232">
        <v>17.119072515545682</v>
      </c>
    </row>
    <row r="116" spans="4:18">
      <c r="E116" s="248"/>
      <c r="F116" s="241"/>
      <c r="G116" s="241"/>
      <c r="H116" s="241"/>
      <c r="I116" s="241"/>
      <c r="J116" s="241"/>
      <c r="M116" s="248"/>
      <c r="N116" s="232"/>
      <c r="O116" s="232"/>
      <c r="P116" s="232"/>
      <c r="Q116" s="232"/>
      <c r="R116" s="232"/>
    </row>
    <row r="117" spans="4:18">
      <c r="E117" s="247"/>
      <c r="F117" s="246" t="s">
        <v>243</v>
      </c>
      <c r="G117" s="246"/>
      <c r="H117" s="246"/>
      <c r="I117" s="246"/>
      <c r="J117" s="246"/>
      <c r="M117" s="247"/>
      <c r="N117" s="246" t="s">
        <v>244</v>
      </c>
      <c r="O117" s="246"/>
      <c r="P117" s="246"/>
      <c r="Q117" s="246"/>
      <c r="R117" s="246"/>
    </row>
    <row r="118" spans="4:18">
      <c r="E118" s="236"/>
      <c r="F118" s="236" t="s">
        <v>241</v>
      </c>
      <c r="G118" s="236"/>
      <c r="H118" s="236"/>
      <c r="I118" s="236"/>
      <c r="J118" s="236"/>
      <c r="N118" s="236" t="s">
        <v>241</v>
      </c>
      <c r="O118" s="236"/>
      <c r="P118" s="236"/>
      <c r="Q118" s="236"/>
      <c r="R118" s="236"/>
    </row>
    <row r="119" spans="4:18">
      <c r="E119" s="235">
        <f ca="1">E93</f>
        <v>1033.86178672859</v>
      </c>
      <c r="F119" s="233">
        <f>G119-0.5</f>
        <v>12</v>
      </c>
      <c r="G119" s="233">
        <f>H119-0.5</f>
        <v>12.5</v>
      </c>
      <c r="H119" s="242">
        <v>13</v>
      </c>
      <c r="I119" s="233">
        <f>H119+0.5</f>
        <v>13.5</v>
      </c>
      <c r="J119" s="233">
        <f>I119+0.5</f>
        <v>14</v>
      </c>
      <c r="M119" s="243">
        <f ca="1">E103</f>
        <v>13.456860615384345</v>
      </c>
      <c r="N119" s="233">
        <f>O119-0.5</f>
        <v>12</v>
      </c>
      <c r="O119" s="233">
        <f>P119-0.5</f>
        <v>12.5</v>
      </c>
      <c r="P119" s="242">
        <v>13</v>
      </c>
      <c r="Q119" s="233">
        <f>P119+0.5</f>
        <v>13.5</v>
      </c>
      <c r="R119" s="233">
        <f>Q119+0.5</f>
        <v>14</v>
      </c>
    </row>
    <row r="120" spans="4:18">
      <c r="E120" s="239">
        <f>E121+0.005</f>
        <v>0.13600000000000001</v>
      </c>
      <c r="F120" s="241">
        <f t="dataTable" ref="F120:J124" dt2D="1" dtr="1" r1="J61" r2="I4" ca="1"/>
        <v>956.79542008487238</v>
      </c>
      <c r="G120" s="241">
        <v>980.81298461431254</v>
      </c>
      <c r="H120" s="241">
        <v>1004.8305491437528</v>
      </c>
      <c r="I120" s="241">
        <v>1028.848113673193</v>
      </c>
      <c r="J120" s="241">
        <v>1052.8656782026335</v>
      </c>
      <c r="M120" s="239">
        <f>M121+0.005</f>
        <v>0.13600000000000001</v>
      </c>
      <c r="N120" s="232">
        <f t="dataTable" ref="N120:R124" dt2D="1" dtr="1" r1="J61" r2="I4" ca="1"/>
        <v>12.447835020708347</v>
      </c>
      <c r="O120" s="232">
        <v>12.762295639359596</v>
      </c>
      <c r="P120" s="232">
        <v>13.076756258010848</v>
      </c>
      <c r="Q120" s="232">
        <v>13.391216876662099</v>
      </c>
      <c r="R120" s="232">
        <v>13.705677495313353</v>
      </c>
    </row>
    <row r="121" spans="4:18">
      <c r="E121" s="239">
        <f>E122+0.005</f>
        <v>0.13100000000000001</v>
      </c>
      <c r="F121" s="241">
        <v>970.97165178726232</v>
      </c>
      <c r="G121" s="241">
        <v>995.44513213586924</v>
      </c>
      <c r="H121" s="241">
        <v>1019.9186124844763</v>
      </c>
      <c r="I121" s="241">
        <v>1044.3920928330836</v>
      </c>
      <c r="J121" s="241">
        <v>1068.8655731816905</v>
      </c>
      <c r="M121" s="239">
        <f>M122+0.005</f>
        <v>0.13100000000000001</v>
      </c>
      <c r="N121" s="232">
        <v>12.633443623354658</v>
      </c>
      <c r="O121" s="232">
        <v>12.953873522128893</v>
      </c>
      <c r="P121" s="232">
        <v>13.274303420903127</v>
      </c>
      <c r="Q121" s="232">
        <v>13.594733319677367</v>
      </c>
      <c r="R121" s="232">
        <v>13.915163218451601</v>
      </c>
    </row>
    <row r="122" spans="4:18">
      <c r="D122" s="1" t="s">
        <v>240</v>
      </c>
      <c r="E122" s="240">
        <v>0.126</v>
      </c>
      <c r="F122" s="241">
        <v>985.45781828007239</v>
      </c>
      <c r="G122" s="241">
        <v>1010.3979467758478</v>
      </c>
      <c r="H122" s="241">
        <v>1035.3380752716234</v>
      </c>
      <c r="I122" s="241">
        <v>1060.278203767399</v>
      </c>
      <c r="J122" s="241">
        <v>1085.2183322631745</v>
      </c>
      <c r="L122" s="1" t="s">
        <v>240</v>
      </c>
      <c r="M122" s="240">
        <v>0.126</v>
      </c>
      <c r="N122" s="232">
        <v>12.823110184742688</v>
      </c>
      <c r="O122" s="232">
        <v>13.149649881405514</v>
      </c>
      <c r="P122" s="232">
        <v>13.476189578068343</v>
      </c>
      <c r="Q122" s="232">
        <v>13.802729274731167</v>
      </c>
      <c r="R122" s="232">
        <v>14.129268971393996</v>
      </c>
    </row>
    <row r="123" spans="4:18">
      <c r="E123" s="239">
        <f>E122-0.005</f>
        <v>0.121</v>
      </c>
      <c r="F123" s="241">
        <v>1000.2623222480335</v>
      </c>
      <c r="G123" s="241">
        <v>1025.6801332117443</v>
      </c>
      <c r="H123" s="241">
        <v>1051.0979441754553</v>
      </c>
      <c r="I123" s="241">
        <v>1076.5157551391662</v>
      </c>
      <c r="J123" s="241">
        <v>1101.9335661028772</v>
      </c>
      <c r="M123" s="239">
        <f>M122-0.005</f>
        <v>0.121</v>
      </c>
      <c r="N123" s="232">
        <v>13.016944720750011</v>
      </c>
      <c r="O123" s="232">
        <v>13.349738687041286</v>
      </c>
      <c r="P123" s="232">
        <v>13.682532653332563</v>
      </c>
      <c r="Q123" s="232">
        <v>14.015326619623842</v>
      </c>
      <c r="R123" s="232">
        <v>14.348120585915117</v>
      </c>
    </row>
    <row r="124" spans="4:18">
      <c r="E124" s="239">
        <v>0.11600000000000001</v>
      </c>
      <c r="F124" s="241">
        <v>1015.3938356367969</v>
      </c>
      <c r="G124" s="241">
        <v>1041.3006752808503</v>
      </c>
      <c r="H124" s="241">
        <v>1067.2075149249042</v>
      </c>
      <c r="I124" s="241">
        <v>1093.1143545689581</v>
      </c>
      <c r="J124" s="241">
        <v>1119.0211942130115</v>
      </c>
      <c r="M124" s="239">
        <v>0.11600000000000001</v>
      </c>
      <c r="N124" s="232">
        <v>13.215060772672246</v>
      </c>
      <c r="O124" s="232">
        <v>13.5542575639115</v>
      </c>
      <c r="P124" s="232">
        <v>13.893454355150757</v>
      </c>
      <c r="Q124" s="232">
        <v>14.232651146390014</v>
      </c>
      <c r="R124" s="232">
        <v>14.571847937629268</v>
      </c>
    </row>
    <row r="152" spans="3:6">
      <c r="C152" s="250"/>
      <c r="D152" s="251" t="s">
        <v>245</v>
      </c>
      <c r="E152" s="251" t="s">
        <v>246</v>
      </c>
      <c r="F152" s="252" t="s">
        <v>247</v>
      </c>
    </row>
    <row r="153" spans="3:6">
      <c r="C153" s="253" t="str">
        <f>"DCF Value at "&amp;TEXT(F119,"0.0x")&amp;"-"&amp;TEXT(J119,"0.0x")&amp;" Exit EBITDA Range at "&amp;TEXT(E122,"0.0%")&amp;" WACC"</f>
        <v>DCF Value at 12.0x-14.0x Exit EBITDA Range at 12.6% WACC</v>
      </c>
      <c r="D153" s="254">
        <f>F122</f>
        <v>985.45781828007239</v>
      </c>
      <c r="E153" s="254">
        <f>F153-D153</f>
        <v>99.760513983102101</v>
      </c>
      <c r="F153" s="255">
        <f>J122</f>
        <v>1085.2183322631745</v>
      </c>
    </row>
    <row r="154" spans="3:6">
      <c r="C154" s="256" t="str">
        <f>"DCF Value at "&amp;TEXT(F110,"0.0%")&amp;"-"&amp;TEXT(J110,"0.0%")&amp;" Perpetuity Range at "&amp;TEXT(E113,"0.0%")&amp;" WACC"</f>
        <v>DCF Value at 2.0%-4.0% Perpetuity Range at 12.6% WACC</v>
      </c>
      <c r="D154" s="254">
        <f>F113</f>
        <v>1009.6519248838873</v>
      </c>
      <c r="E154" s="254">
        <f>F154-D154</f>
        <v>159.87792897987549</v>
      </c>
      <c r="F154" s="255">
        <f>J113</f>
        <v>1169.5298538637628</v>
      </c>
    </row>
    <row r="155" spans="3:6">
      <c r="C155" s="257" t="s">
        <v>248</v>
      </c>
      <c r="D155" s="258">
        <v>92.22</v>
      </c>
      <c r="E155" s="258">
        <f>F155-D155</f>
        <v>824.54</v>
      </c>
      <c r="F155" s="259">
        <v>916.76</v>
      </c>
    </row>
  </sheetData>
  <dataValidations count="1">
    <dataValidation type="list" allowBlank="1" showInputMessage="1" showErrorMessage="1" sqref="I7" xr:uid="{719AAAB4-8E66-4064-894A-768136D3A04D}">
      <formula1>"0,1"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2026-05-27T00:28:04Z</dcterms:modified>
</cp:coreProperties>
</file>