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2df6c5ece268d3f/Documents/Professional/Finance Modeling Projects/Micron FSM/Final DCF and Model/"/>
    </mc:Choice>
  </mc:AlternateContent>
  <xr:revisionPtr revIDLastSave="0" documentId="8_{9E364366-B6CC-4512-B8F8-DE1A9CE9DBCD}" xr6:coauthVersionLast="47" xr6:coauthVersionMax="47" xr10:uidLastSave="{00000000-0000-0000-0000-000000000000}"/>
  <bookViews>
    <workbookView xWindow="-108" yWindow="-108" windowWidth="23256" windowHeight="12456" xr2:uid="{290D46E5-3F9E-47F2-82EA-07C5FF78B19B}"/>
  </bookViews>
  <sheets>
    <sheet name="FSM Forecast" sheetId="1" r:id="rId1"/>
    <sheet name="Revenue Build" sheetId="2" r:id="rId2"/>
    <sheet name="DCF" sheetId="4" r:id="rId3"/>
  </sheets>
  <definedNames>
    <definedName name="_xlnm.Print_Area" localSheetId="2">DCF!$A$1:$R$155</definedName>
    <definedName name="_xlnm.Print_Area" localSheetId="0">'FSM Forecast'!$A$1:$J$244</definedName>
    <definedName name="_xlnm.Print_Area" localSheetId="1">'Revenue Build'!$A$1:$K$23</definedName>
  </definedNames>
  <calcPr calcId="191029" calcMode="autoNoTable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4" l="1"/>
  <c r="D153" i="4" l="1"/>
  <c r="J129" i="1"/>
  <c r="I129" i="1"/>
  <c r="H129" i="1"/>
  <c r="G129" i="1"/>
  <c r="F129" i="1"/>
  <c r="F97" i="1" s="1"/>
  <c r="F153" i="4"/>
  <c r="F154" i="4"/>
  <c r="D154" i="4"/>
  <c r="E155" i="4"/>
  <c r="G119" i="4"/>
  <c r="F119" i="4" s="1"/>
  <c r="C153" i="4" s="1"/>
  <c r="O119" i="4"/>
  <c r="N119" i="4" s="1"/>
  <c r="Q119" i="4"/>
  <c r="R119" i="4" s="1"/>
  <c r="I119" i="4"/>
  <c r="J119" i="4" s="1"/>
  <c r="Q110" i="4"/>
  <c r="R110" i="4" s="1"/>
  <c r="O110" i="4"/>
  <c r="N110" i="4" s="1"/>
  <c r="M123" i="4"/>
  <c r="M121" i="4"/>
  <c r="M120" i="4" s="1"/>
  <c r="M114" i="4"/>
  <c r="M112" i="4"/>
  <c r="M111" i="4" s="1"/>
  <c r="E123" i="4"/>
  <c r="E121" i="4"/>
  <c r="E120" i="4" s="1"/>
  <c r="E114" i="4"/>
  <c r="E112" i="4"/>
  <c r="E111" i="4" s="1"/>
  <c r="H9" i="4"/>
  <c r="I6" i="4"/>
  <c r="D56" i="4"/>
  <c r="D73" i="4"/>
  <c r="I5" i="4"/>
  <c r="E48" i="4" s="1"/>
  <c r="F43" i="4"/>
  <c r="F42" i="4"/>
  <c r="F40" i="4"/>
  <c r="C53" i="4"/>
  <c r="G27" i="4"/>
  <c r="H27" i="4"/>
  <c r="I27" i="4"/>
  <c r="J27" i="4"/>
  <c r="F27" i="4"/>
  <c r="F22" i="4"/>
  <c r="G22" i="4"/>
  <c r="H22" i="4"/>
  <c r="I22" i="4"/>
  <c r="J22" i="4"/>
  <c r="E14" i="4"/>
  <c r="E12" i="4"/>
  <c r="F12" i="4"/>
  <c r="F55" i="4" s="1"/>
  <c r="J12" i="4"/>
  <c r="C61" i="4" s="1"/>
  <c r="I12" i="4"/>
  <c r="H12" i="4"/>
  <c r="I55" i="4" s="1"/>
  <c r="G12" i="4"/>
  <c r="G11" i="4"/>
  <c r="H11" i="4" s="1"/>
  <c r="I11" i="4" s="1"/>
  <c r="J11" i="4" s="1"/>
  <c r="D83" i="4"/>
  <c r="D90" i="4" s="1"/>
  <c r="E55" i="4"/>
  <c r="F35" i="1"/>
  <c r="G35" i="1" s="1"/>
  <c r="H35" i="1" s="1"/>
  <c r="I35" i="1" s="1"/>
  <c r="J35" i="1" s="1"/>
  <c r="D43" i="1"/>
  <c r="E43" i="1"/>
  <c r="F161" i="1"/>
  <c r="F128" i="1"/>
  <c r="F55" i="1"/>
  <c r="G55" i="1" s="1"/>
  <c r="H55" i="1" s="1"/>
  <c r="I55" i="1" s="1"/>
  <c r="J55" i="1" s="1"/>
  <c r="F56" i="1"/>
  <c r="G56" i="1" s="1"/>
  <c r="H56" i="1" s="1"/>
  <c r="I56" i="1" s="1"/>
  <c r="J56" i="1" s="1"/>
  <c r="F57" i="1"/>
  <c r="G57" i="1" s="1"/>
  <c r="H57" i="1" s="1"/>
  <c r="I57" i="1" s="1"/>
  <c r="J57" i="1" s="1"/>
  <c r="F66" i="1"/>
  <c r="G66" i="1" s="1"/>
  <c r="H66" i="1" s="1"/>
  <c r="I66" i="1" s="1"/>
  <c r="J66" i="1" s="1"/>
  <c r="F65" i="1"/>
  <c r="G65" i="1" s="1"/>
  <c r="H65" i="1" s="1"/>
  <c r="I65" i="1" s="1"/>
  <c r="J65" i="1" s="1"/>
  <c r="F70" i="1"/>
  <c r="G70" i="1" s="1"/>
  <c r="H70" i="1" s="1"/>
  <c r="I70" i="1" s="1"/>
  <c r="J70" i="1" s="1"/>
  <c r="G244" i="1"/>
  <c r="H244" i="1"/>
  <c r="I244" i="1"/>
  <c r="J244" i="1"/>
  <c r="F244" i="1"/>
  <c r="J22" i="2"/>
  <c r="E112" i="1"/>
  <c r="F112" i="1" s="1"/>
  <c r="G112" i="1" s="1"/>
  <c r="H112" i="1" s="1"/>
  <c r="I112" i="1" s="1"/>
  <c r="J112" i="1" s="1"/>
  <c r="H3" i="2"/>
  <c r="F234" i="1"/>
  <c r="G22" i="2"/>
  <c r="G8" i="2" s="1"/>
  <c r="H23" i="2"/>
  <c r="I23" i="2"/>
  <c r="J23" i="2"/>
  <c r="K23" i="2"/>
  <c r="G23" i="2"/>
  <c r="G9" i="2" s="1"/>
  <c r="H22" i="2"/>
  <c r="I22" i="2"/>
  <c r="K22" i="2"/>
  <c r="F4" i="2"/>
  <c r="E16" i="1"/>
  <c r="E4" i="2"/>
  <c r="K4" i="2"/>
  <c r="J4" i="2"/>
  <c r="I4" i="2"/>
  <c r="H4" i="2"/>
  <c r="G4" i="2"/>
  <c r="I3" i="2"/>
  <c r="J3" i="2" s="1"/>
  <c r="K3" i="2" s="1"/>
  <c r="F10" i="2"/>
  <c r="E10" i="2"/>
  <c r="D180" i="1"/>
  <c r="F236" i="1"/>
  <c r="C180" i="1"/>
  <c r="F240" i="1"/>
  <c r="G240" i="1"/>
  <c r="H240" i="1"/>
  <c r="I240" i="1"/>
  <c r="J240" i="1"/>
  <c r="J234" i="1"/>
  <c r="E154" i="4" l="1"/>
  <c r="E153" i="4"/>
  <c r="J55" i="4"/>
  <c r="H55" i="4"/>
  <c r="E90" i="4"/>
  <c r="G55" i="4"/>
  <c r="F44" i="4"/>
  <c r="C62" i="4"/>
  <c r="F62" i="4"/>
  <c r="F11" i="2"/>
  <c r="I234" i="1"/>
  <c r="H234" i="1"/>
  <c r="G234" i="1"/>
  <c r="F227" i="1"/>
  <c r="F228" i="1" s="1"/>
  <c r="H8" i="2"/>
  <c r="I8" i="2" s="1"/>
  <c r="J8" i="2" s="1"/>
  <c r="K8" i="2" s="1"/>
  <c r="J227" i="1" s="1"/>
  <c r="J228" i="1" s="1"/>
  <c r="H9" i="2"/>
  <c r="F231" i="1"/>
  <c r="G236" i="1"/>
  <c r="G10" i="2"/>
  <c r="G11" i="2" s="1"/>
  <c r="J236" i="1"/>
  <c r="I236" i="1"/>
  <c r="H236" i="1"/>
  <c r="I227" i="1" l="1"/>
  <c r="I226" i="1" s="1"/>
  <c r="G227" i="1"/>
  <c r="G226" i="1" s="1"/>
  <c r="H10" i="2"/>
  <c r="H11" i="2" s="1"/>
  <c r="H227" i="1"/>
  <c r="H228" i="1" s="1"/>
  <c r="F226" i="1"/>
  <c r="J226" i="1"/>
  <c r="F232" i="1"/>
  <c r="F230" i="1"/>
  <c r="I9" i="2"/>
  <c r="G231" i="1"/>
  <c r="H226" i="1" l="1"/>
  <c r="G228" i="1"/>
  <c r="I228" i="1"/>
  <c r="G230" i="1"/>
  <c r="G232" i="1"/>
  <c r="J9" i="2"/>
  <c r="H231" i="1"/>
  <c r="I10" i="2"/>
  <c r="I11" i="2" s="1"/>
  <c r="E180" i="1"/>
  <c r="G238" i="1"/>
  <c r="H238" i="1"/>
  <c r="I238" i="1"/>
  <c r="J238" i="1"/>
  <c r="F238" i="1"/>
  <c r="G242" i="1"/>
  <c r="H242" i="1"/>
  <c r="I242" i="1"/>
  <c r="J242" i="1"/>
  <c r="F242" i="1"/>
  <c r="C213" i="1"/>
  <c r="F217" i="1" s="1"/>
  <c r="D75" i="1"/>
  <c r="E170" i="1"/>
  <c r="E153" i="1"/>
  <c r="D153" i="1"/>
  <c r="F54" i="1"/>
  <c r="G54" i="1" s="1"/>
  <c r="H54" i="1" s="1"/>
  <c r="I54" i="1" s="1"/>
  <c r="J54" i="1" s="1"/>
  <c r="D49" i="1"/>
  <c r="D170" i="1"/>
  <c r="C170" i="1"/>
  <c r="D157" i="1"/>
  <c r="D158" i="1" s="1"/>
  <c r="E157" i="1"/>
  <c r="C153" i="1"/>
  <c r="D146" i="1"/>
  <c r="E146" i="1"/>
  <c r="F143" i="1" s="1"/>
  <c r="G218" i="1" l="1"/>
  <c r="H232" i="1"/>
  <c r="H230" i="1"/>
  <c r="K9" i="2"/>
  <c r="I231" i="1"/>
  <c r="J10" i="2"/>
  <c r="J11" i="2" s="1"/>
  <c r="E220" i="1"/>
  <c r="E219" i="1"/>
  <c r="E218" i="1"/>
  <c r="E223" i="1"/>
  <c r="E221" i="1"/>
  <c r="E217" i="1"/>
  <c r="E222" i="1"/>
  <c r="G221" i="1"/>
  <c r="G40" i="1" s="1"/>
  <c r="F218" i="1"/>
  <c r="F219" i="1" s="1"/>
  <c r="F221" i="1"/>
  <c r="F40" i="1" s="1"/>
  <c r="F222" i="1"/>
  <c r="F41" i="1" s="1"/>
  <c r="H218" i="1"/>
  <c r="F223" i="1"/>
  <c r="F42" i="1" s="1"/>
  <c r="J222" i="1"/>
  <c r="J41" i="1" s="1"/>
  <c r="I223" i="1"/>
  <c r="I42" i="1" s="1"/>
  <c r="I222" i="1"/>
  <c r="I41" i="1" s="1"/>
  <c r="J223" i="1"/>
  <c r="J42" i="1" s="1"/>
  <c r="G217" i="1"/>
  <c r="H223" i="1"/>
  <c r="H42" i="1" s="1"/>
  <c r="G223" i="1"/>
  <c r="G42" i="1" s="1"/>
  <c r="H222" i="1"/>
  <c r="H41" i="1" s="1"/>
  <c r="G222" i="1"/>
  <c r="G41" i="1" s="1"/>
  <c r="J221" i="1"/>
  <c r="J40" i="1" s="1"/>
  <c r="I221" i="1"/>
  <c r="I40" i="1" s="1"/>
  <c r="H221" i="1"/>
  <c r="H40" i="1" s="1"/>
  <c r="E158" i="1"/>
  <c r="G219" i="1" l="1"/>
  <c r="I232" i="1"/>
  <c r="I230" i="1"/>
  <c r="J231" i="1"/>
  <c r="K10" i="2"/>
  <c r="K11" i="2" s="1"/>
  <c r="I218" i="1"/>
  <c r="F220" i="1"/>
  <c r="F39" i="1" s="1"/>
  <c r="F18" i="1" s="1"/>
  <c r="H217" i="1"/>
  <c r="H219" i="1" s="1"/>
  <c r="G92" i="1"/>
  <c r="G93" i="1" s="1"/>
  <c r="H92" i="1"/>
  <c r="H93" i="1" s="1"/>
  <c r="I92" i="1"/>
  <c r="I93" i="1" s="1"/>
  <c r="J92" i="1"/>
  <c r="J93" i="1" s="1"/>
  <c r="F92" i="1"/>
  <c r="F93" i="1" s="1"/>
  <c r="G128" i="1"/>
  <c r="D130" i="1"/>
  <c r="E130" i="1"/>
  <c r="F126" i="1" s="1"/>
  <c r="E123" i="1"/>
  <c r="F120" i="1" s="1"/>
  <c r="D123" i="1"/>
  <c r="G116" i="1"/>
  <c r="H116" i="1" s="1"/>
  <c r="I116" i="1" s="1"/>
  <c r="J116" i="1" s="1"/>
  <c r="D117" i="1"/>
  <c r="D115" i="1" s="1"/>
  <c r="D116" i="1" s="1"/>
  <c r="E117" i="1"/>
  <c r="E115" i="1" s="1"/>
  <c r="E116" i="1" s="1"/>
  <c r="D110" i="1"/>
  <c r="C117" i="1"/>
  <c r="C115" i="1" s="1"/>
  <c r="C116" i="1" s="1"/>
  <c r="E110" i="1"/>
  <c r="F107" i="1" s="1"/>
  <c r="F62" i="1" l="1"/>
  <c r="F50" i="1"/>
  <c r="J232" i="1"/>
  <c r="J230" i="1"/>
  <c r="J218" i="1"/>
  <c r="H220" i="1"/>
  <c r="H39" i="1" s="1"/>
  <c r="G220" i="1"/>
  <c r="G39" i="1" s="1"/>
  <c r="J217" i="1"/>
  <c r="I217" i="1"/>
  <c r="I219" i="1" s="1"/>
  <c r="F98" i="1"/>
  <c r="H128" i="1"/>
  <c r="G98" i="1"/>
  <c r="G97" i="1"/>
  <c r="J219" i="1" l="1"/>
  <c r="J220" i="1" s="1"/>
  <c r="J39" i="1" s="1"/>
  <c r="F21" i="1"/>
  <c r="F14" i="4"/>
  <c r="F22" i="1"/>
  <c r="G18" i="1"/>
  <c r="G14" i="4" s="1"/>
  <c r="I220" i="1"/>
  <c r="I39" i="1" s="1"/>
  <c r="H97" i="1"/>
  <c r="H98" i="1"/>
  <c r="I128" i="1"/>
  <c r="F15" i="4" l="1"/>
  <c r="F28" i="4"/>
  <c r="G28" i="4"/>
  <c r="G15" i="4"/>
  <c r="G22" i="1"/>
  <c r="G21" i="1"/>
  <c r="H18" i="1"/>
  <c r="I98" i="1"/>
  <c r="J128" i="1"/>
  <c r="J98" i="1" s="1"/>
  <c r="J97" i="1"/>
  <c r="I97" i="1"/>
  <c r="H22" i="1" l="1"/>
  <c r="H14" i="4"/>
  <c r="H21" i="1"/>
  <c r="I18" i="1"/>
  <c r="I14" i="4" s="1"/>
  <c r="C112" i="1"/>
  <c r="D112" i="1"/>
  <c r="F67" i="1"/>
  <c r="F89" i="1" s="1"/>
  <c r="G62" i="1"/>
  <c r="H62" i="1" s="1"/>
  <c r="I62" i="1" s="1"/>
  <c r="J62" i="1" s="1"/>
  <c r="F58" i="1"/>
  <c r="F52" i="1"/>
  <c r="G52" i="1" s="1"/>
  <c r="H52" i="1" s="1"/>
  <c r="I52" i="1" s="1"/>
  <c r="J52" i="1" s="1"/>
  <c r="G50" i="1"/>
  <c r="F115" i="1"/>
  <c r="H28" i="4" l="1"/>
  <c r="H15" i="4"/>
  <c r="I15" i="4"/>
  <c r="I28" i="4"/>
  <c r="J18" i="1"/>
  <c r="I22" i="1"/>
  <c r="I21" i="1"/>
  <c r="G67" i="1"/>
  <c r="H67" i="1" s="1"/>
  <c r="F121" i="1"/>
  <c r="G58" i="1"/>
  <c r="F123" i="1"/>
  <c r="H50" i="1"/>
  <c r="J22" i="1" l="1"/>
  <c r="J14" i="4"/>
  <c r="J21" i="1"/>
  <c r="G89" i="1"/>
  <c r="F122" i="1"/>
  <c r="F88" i="1" s="1"/>
  <c r="G120" i="1"/>
  <c r="H58" i="1"/>
  <c r="G123" i="1"/>
  <c r="H120" i="1" s="1"/>
  <c r="I67" i="1"/>
  <c r="H89" i="1"/>
  <c r="I50" i="1"/>
  <c r="J15" i="4" l="1"/>
  <c r="J28" i="4"/>
  <c r="J67" i="1"/>
  <c r="J89" i="1" s="1"/>
  <c r="I89" i="1"/>
  <c r="I58" i="1"/>
  <c r="H123" i="1"/>
  <c r="J50" i="1"/>
  <c r="I120" i="1" l="1"/>
  <c r="J58" i="1"/>
  <c r="J123" i="1" s="1"/>
  <c r="I123" i="1"/>
  <c r="J120" i="1" s="1"/>
  <c r="F20" i="1"/>
  <c r="F28" i="1"/>
  <c r="G28" i="1" s="1"/>
  <c r="H28" i="1" s="1"/>
  <c r="I28" i="1" s="1"/>
  <c r="E39" i="1"/>
  <c r="D68" i="1"/>
  <c r="E49" i="1"/>
  <c r="D59" i="1"/>
  <c r="E68" i="1"/>
  <c r="E151" i="1"/>
  <c r="E134" i="1"/>
  <c r="E105" i="1"/>
  <c r="E48" i="1"/>
  <c r="J134" i="1"/>
  <c r="I134" i="1"/>
  <c r="H134" i="1"/>
  <c r="G134" i="1"/>
  <c r="F134" i="1"/>
  <c r="D134" i="1"/>
  <c r="C134" i="1"/>
  <c r="G133" i="1"/>
  <c r="H133" i="1" s="1"/>
  <c r="I133" i="1" s="1"/>
  <c r="J133" i="1" s="1"/>
  <c r="D133" i="1"/>
  <c r="C133" i="1" s="1"/>
  <c r="J151" i="1"/>
  <c r="I151" i="1"/>
  <c r="H151" i="1"/>
  <c r="G151" i="1"/>
  <c r="F151" i="1"/>
  <c r="D151" i="1"/>
  <c r="C151" i="1"/>
  <c r="G150" i="1"/>
  <c r="H150" i="1" s="1"/>
  <c r="I150" i="1" s="1"/>
  <c r="J150" i="1" s="1"/>
  <c r="D150" i="1"/>
  <c r="C150" i="1" s="1"/>
  <c r="J105" i="1"/>
  <c r="I105" i="1"/>
  <c r="H105" i="1"/>
  <c r="G105" i="1"/>
  <c r="F105" i="1"/>
  <c r="D105" i="1"/>
  <c r="C105" i="1"/>
  <c r="G104" i="1"/>
  <c r="H104" i="1" s="1"/>
  <c r="I104" i="1" s="1"/>
  <c r="J104" i="1" s="1"/>
  <c r="D104" i="1"/>
  <c r="C104" i="1" s="1"/>
  <c r="J81" i="1"/>
  <c r="I81" i="1"/>
  <c r="H81" i="1"/>
  <c r="G81" i="1"/>
  <c r="F81" i="1"/>
  <c r="G80" i="1"/>
  <c r="H80" i="1" s="1"/>
  <c r="I80" i="1" s="1"/>
  <c r="J80" i="1" s="1"/>
  <c r="J48" i="1"/>
  <c r="I48" i="1"/>
  <c r="H48" i="1"/>
  <c r="G48" i="1"/>
  <c r="F48" i="1"/>
  <c r="D48" i="1"/>
  <c r="G47" i="1"/>
  <c r="H47" i="1" s="1"/>
  <c r="I47" i="1" s="1"/>
  <c r="J47" i="1" s="1"/>
  <c r="D47" i="1"/>
  <c r="D41" i="1"/>
  <c r="E41" i="1"/>
  <c r="D42" i="1"/>
  <c r="E42" i="1"/>
  <c r="C42" i="1"/>
  <c r="C41" i="1"/>
  <c r="D39" i="1"/>
  <c r="C16" i="1"/>
  <c r="C174" i="1" s="1"/>
  <c r="D16" i="1"/>
  <c r="J16" i="1"/>
  <c r="J174" i="1" s="1"/>
  <c r="I16" i="1"/>
  <c r="I174" i="1" s="1"/>
  <c r="H16" i="1"/>
  <c r="H174" i="1" s="1"/>
  <c r="G16" i="1"/>
  <c r="G174" i="1" s="1"/>
  <c r="F16" i="1"/>
  <c r="B174" i="1"/>
  <c r="F173" i="1"/>
  <c r="E173" i="1"/>
  <c r="B173" i="1"/>
  <c r="F215" i="1"/>
  <c r="B151" i="1"/>
  <c r="B150" i="1"/>
  <c r="B134" i="1"/>
  <c r="B133" i="1"/>
  <c r="E20" i="1"/>
  <c r="E25" i="1" s="1"/>
  <c r="E18" i="4" s="1"/>
  <c r="D20" i="1"/>
  <c r="C20" i="1"/>
  <c r="E174" i="1"/>
  <c r="G15" i="1"/>
  <c r="H15" i="1" s="1"/>
  <c r="D15" i="1"/>
  <c r="C15" i="1" s="1"/>
  <c r="C173" i="1" s="1"/>
  <c r="B2" i="1"/>
  <c r="E16" i="4" l="1"/>
  <c r="E17" i="4" s="1"/>
  <c r="E19" i="4"/>
  <c r="F25" i="1"/>
  <c r="F18" i="4" s="1"/>
  <c r="F19" i="4" s="1"/>
  <c r="F71" i="1"/>
  <c r="F184" i="1"/>
  <c r="D77" i="1"/>
  <c r="C25" i="1"/>
  <c r="C29" i="1" s="1"/>
  <c r="D25" i="1"/>
  <c r="D29" i="1" s="1"/>
  <c r="D44" i="1" s="1"/>
  <c r="F74" i="1"/>
  <c r="G74" i="1" s="1"/>
  <c r="E75" i="1"/>
  <c r="G216" i="1"/>
  <c r="H115" i="1"/>
  <c r="G115" i="1"/>
  <c r="F85" i="1"/>
  <c r="E59" i="1"/>
  <c r="F137" i="1"/>
  <c r="I15" i="1"/>
  <c r="H173" i="1"/>
  <c r="H215" i="1"/>
  <c r="G215" i="1"/>
  <c r="D173" i="1"/>
  <c r="G173" i="1"/>
  <c r="H216" i="1"/>
  <c r="I216" i="1"/>
  <c r="J216" i="1"/>
  <c r="F19" i="1"/>
  <c r="C40" i="1"/>
  <c r="E40" i="1"/>
  <c r="D40" i="1"/>
  <c r="G20" i="1"/>
  <c r="J28" i="1"/>
  <c r="E34" i="1"/>
  <c r="E36" i="1" s="1"/>
  <c r="E29" i="1"/>
  <c r="F174" i="1"/>
  <c r="F216" i="1"/>
  <c r="D174" i="1"/>
  <c r="F23" i="4" l="1"/>
  <c r="F21" i="4"/>
  <c r="G19" i="1"/>
  <c r="G71" i="1"/>
  <c r="F51" i="1"/>
  <c r="F61" i="1"/>
  <c r="D34" i="1"/>
  <c r="D36" i="1" s="1"/>
  <c r="C34" i="1"/>
  <c r="C36" i="1" s="1"/>
  <c r="J115" i="1"/>
  <c r="H20" i="1"/>
  <c r="D31" i="1"/>
  <c r="D127" i="1" s="1"/>
  <c r="C31" i="1"/>
  <c r="E77" i="1"/>
  <c r="G121" i="1"/>
  <c r="G122" i="1" s="1"/>
  <c r="G88" i="1" s="1"/>
  <c r="H121" i="1"/>
  <c r="H122" i="1" s="1"/>
  <c r="H88" i="1" s="1"/>
  <c r="H74" i="1"/>
  <c r="G85" i="1"/>
  <c r="G184" i="1"/>
  <c r="J15" i="1"/>
  <c r="I173" i="1"/>
  <c r="I215" i="1"/>
  <c r="E31" i="1"/>
  <c r="E176" i="1" s="1"/>
  <c r="E178" i="1" s="1"/>
  <c r="E44" i="1"/>
  <c r="E22" i="4" s="1"/>
  <c r="G25" i="1"/>
  <c r="G18" i="4" s="1"/>
  <c r="E21" i="4" l="1"/>
  <c r="E23" i="4"/>
  <c r="G61" i="1"/>
  <c r="G87" i="1" s="1"/>
  <c r="H19" i="1"/>
  <c r="G19" i="4"/>
  <c r="G23" i="4"/>
  <c r="G21" i="4"/>
  <c r="H71" i="1"/>
  <c r="G51" i="1"/>
  <c r="G86" i="1" s="1"/>
  <c r="F86" i="1"/>
  <c r="F87" i="1"/>
  <c r="E181" i="1"/>
  <c r="I115" i="1"/>
  <c r="I20" i="1"/>
  <c r="D176" i="1"/>
  <c r="H25" i="1"/>
  <c r="H18" i="4" s="1"/>
  <c r="C127" i="1"/>
  <c r="C176" i="1"/>
  <c r="J121" i="1"/>
  <c r="J122" i="1" s="1"/>
  <c r="J88" i="1" s="1"/>
  <c r="E127" i="1"/>
  <c r="I74" i="1"/>
  <c r="J173" i="1"/>
  <c r="J215" i="1"/>
  <c r="H85" i="1"/>
  <c r="H184" i="1"/>
  <c r="J20" i="1"/>
  <c r="J19" i="1" s="1"/>
  <c r="H61" i="1" l="1"/>
  <c r="H87" i="1" s="1"/>
  <c r="I19" i="1"/>
  <c r="G32" i="4"/>
  <c r="F32" i="4"/>
  <c r="F33" i="4" s="1"/>
  <c r="H19" i="4"/>
  <c r="H21" i="4"/>
  <c r="H23" i="4"/>
  <c r="I71" i="1"/>
  <c r="D178" i="1"/>
  <c r="D181" i="1"/>
  <c r="H51" i="1"/>
  <c r="H86" i="1" s="1"/>
  <c r="I121" i="1"/>
  <c r="I122" i="1" s="1"/>
  <c r="I88" i="1" s="1"/>
  <c r="I25" i="1"/>
  <c r="I18" i="4" s="1"/>
  <c r="C181" i="1"/>
  <c r="C178" i="1"/>
  <c r="I85" i="1"/>
  <c r="I184" i="1"/>
  <c r="J74" i="1"/>
  <c r="J25" i="1"/>
  <c r="J18" i="4" s="1"/>
  <c r="I61" i="1" l="1"/>
  <c r="J61" i="1" s="1"/>
  <c r="G33" i="4"/>
  <c r="G26" i="4"/>
  <c r="H32" i="4"/>
  <c r="H33" i="4" s="1"/>
  <c r="F26" i="4"/>
  <c r="I19" i="4"/>
  <c r="I21" i="4"/>
  <c r="I23" i="4"/>
  <c r="J19" i="4"/>
  <c r="J21" i="4"/>
  <c r="J23" i="4"/>
  <c r="J71" i="1"/>
  <c r="I51" i="1"/>
  <c r="J51" i="1" s="1"/>
  <c r="J184" i="1"/>
  <c r="J85" i="1"/>
  <c r="I87" i="1" l="1"/>
  <c r="H26" i="4"/>
  <c r="I86" i="1"/>
  <c r="J87" i="1"/>
  <c r="J86" i="1"/>
  <c r="I32" i="4" l="1"/>
  <c r="I33" i="4" s="1"/>
  <c r="J32" i="4"/>
  <c r="J33" i="4" s="1"/>
  <c r="F109" i="1"/>
  <c r="I26" i="4" l="1"/>
  <c r="J26" i="4"/>
  <c r="F110" i="1"/>
  <c r="F117" i="1"/>
  <c r="F33" i="1" s="1"/>
  <c r="F84" i="1" l="1"/>
  <c r="F25" i="4"/>
  <c r="F30" i="4" s="1"/>
  <c r="G107" i="1"/>
  <c r="F53" i="1"/>
  <c r="F34" i="1"/>
  <c r="F36" i="1" s="1"/>
  <c r="F56" i="4" l="1"/>
  <c r="F16" i="4"/>
  <c r="F17" i="4" s="1"/>
  <c r="G109" i="1"/>
  <c r="H109" i="1"/>
  <c r="H117" i="1" s="1"/>
  <c r="I109" i="1"/>
  <c r="I117" i="1" s="1"/>
  <c r="J109" i="1"/>
  <c r="J117" i="1" s="1"/>
  <c r="G110" i="1" l="1"/>
  <c r="G117" i="1"/>
  <c r="H33" i="1"/>
  <c r="H25" i="4" s="1"/>
  <c r="H30" i="4" s="1"/>
  <c r="I33" i="1"/>
  <c r="I25" i="4" s="1"/>
  <c r="I30" i="4" s="1"/>
  <c r="J33" i="1"/>
  <c r="J25" i="4" s="1"/>
  <c r="J30" i="4" s="1"/>
  <c r="H56" i="4" l="1"/>
  <c r="H16" i="4"/>
  <c r="H17" i="4" s="1"/>
  <c r="I56" i="4"/>
  <c r="I16" i="4"/>
  <c r="I17" i="4" s="1"/>
  <c r="J56" i="4"/>
  <c r="J16" i="4"/>
  <c r="H34" i="1"/>
  <c r="H36" i="1" s="1"/>
  <c r="H84" i="1"/>
  <c r="I34" i="1"/>
  <c r="I36" i="1" s="1"/>
  <c r="I84" i="1"/>
  <c r="J34" i="1"/>
  <c r="J36" i="1" s="1"/>
  <c r="J84" i="1"/>
  <c r="G53" i="1"/>
  <c r="H107" i="1"/>
  <c r="H110" i="1" s="1"/>
  <c r="G33" i="1"/>
  <c r="G25" i="4" s="1"/>
  <c r="G30" i="4" s="1"/>
  <c r="D61" i="4" l="1"/>
  <c r="J60" i="4"/>
  <c r="J62" i="4" s="1"/>
  <c r="J17" i="4"/>
  <c r="G56" i="4"/>
  <c r="G16" i="4"/>
  <c r="G17" i="4" s="1"/>
  <c r="I107" i="1"/>
  <c r="I110" i="1" s="1"/>
  <c r="H53" i="1"/>
  <c r="G34" i="1"/>
  <c r="G36" i="1" s="1"/>
  <c r="G84" i="1"/>
  <c r="J107" i="1" l="1"/>
  <c r="J110" i="1" s="1"/>
  <c r="J53" i="1" s="1"/>
  <c r="I53" i="1"/>
  <c r="F163" i="1" l="1"/>
  <c r="F165" i="1" s="1"/>
  <c r="F64" i="1" l="1"/>
  <c r="F95" i="1" s="1"/>
  <c r="G161" i="1"/>
  <c r="G163" i="1" l="1"/>
  <c r="G165" i="1" s="1"/>
  <c r="H161" i="1" l="1"/>
  <c r="G64" i="1"/>
  <c r="G95" i="1" s="1"/>
  <c r="H163" i="1" l="1"/>
  <c r="H165" i="1" s="1"/>
  <c r="I161" i="1" l="1"/>
  <c r="H64" i="1"/>
  <c r="H95" i="1" s="1"/>
  <c r="I163" i="1" l="1"/>
  <c r="I165" i="1" s="1"/>
  <c r="J161" i="1" l="1"/>
  <c r="I64" i="1"/>
  <c r="I95" i="1" s="1"/>
  <c r="J163" i="1" l="1"/>
  <c r="J64" i="1" s="1"/>
  <c r="J95" i="1" s="1"/>
  <c r="J165" i="1" l="1"/>
  <c r="G110" i="4"/>
  <c r="F110" i="4" s="1"/>
  <c r="C154" i="4" s="1"/>
  <c r="I110" i="4"/>
  <c r="J110" i="4" s="1"/>
  <c r="I4" i="4"/>
  <c r="E47" i="4"/>
  <c r="F47" i="4"/>
  <c r="F48" i="4"/>
  <c r="E49" i="4"/>
  <c r="F49" i="4"/>
  <c r="F51" i="4"/>
  <c r="F57" i="4"/>
  <c r="G57" i="4"/>
  <c r="H57" i="4"/>
  <c r="I57" i="4"/>
  <c r="J57" i="4"/>
  <c r="D62" i="4"/>
  <c r="D63" i="4"/>
  <c r="J63" i="4"/>
  <c r="D64" i="4"/>
  <c r="J64" i="4"/>
  <c r="D65" i="4"/>
  <c r="J65" i="4"/>
  <c r="D67" i="4"/>
  <c r="J67" i="4"/>
  <c r="D68" i="4"/>
  <c r="J68" i="4"/>
  <c r="D69" i="4"/>
  <c r="J69" i="4"/>
  <c r="D85" i="4"/>
  <c r="D89" i="4"/>
  <c r="E89" i="4"/>
  <c r="D91" i="4"/>
  <c r="E91" i="4"/>
  <c r="D92" i="4"/>
  <c r="E92" i="4"/>
  <c r="D93" i="4"/>
  <c r="E93" i="4"/>
  <c r="D97" i="4"/>
  <c r="E97" i="4"/>
  <c r="D98" i="4"/>
  <c r="E98" i="4"/>
  <c r="D99" i="4"/>
  <c r="E99" i="4"/>
  <c r="D102" i="4"/>
  <c r="E102" i="4"/>
  <c r="D103" i="4"/>
  <c r="E103" i="4"/>
  <c r="D104" i="4"/>
  <c r="E104" i="4"/>
  <c r="E110" i="4"/>
  <c r="M110" i="4"/>
  <c r="E119" i="4"/>
  <c r="M119" i="4"/>
  <c r="F26" i="1"/>
  <c r="G26" i="1"/>
  <c r="H26" i="1"/>
  <c r="I26" i="1"/>
  <c r="J26" i="1"/>
  <c r="F27" i="1"/>
  <c r="G27" i="1"/>
  <c r="H27" i="1"/>
  <c r="I27" i="1"/>
  <c r="J27" i="1"/>
  <c r="F29" i="1"/>
  <c r="G29" i="1"/>
  <c r="H29" i="1"/>
  <c r="I29" i="1"/>
  <c r="J29" i="1"/>
  <c r="F30" i="1"/>
  <c r="G30" i="1"/>
  <c r="H30" i="1"/>
  <c r="I30" i="1"/>
  <c r="J30" i="1"/>
  <c r="F31" i="1"/>
  <c r="G31" i="1"/>
  <c r="H31" i="1"/>
  <c r="I31" i="1"/>
  <c r="J31" i="1"/>
  <c r="F49" i="1"/>
  <c r="G49" i="1"/>
  <c r="H49" i="1"/>
  <c r="I49" i="1"/>
  <c r="J49" i="1"/>
  <c r="F59" i="1"/>
  <c r="G59" i="1"/>
  <c r="H59" i="1"/>
  <c r="I59" i="1"/>
  <c r="J59" i="1"/>
  <c r="F63" i="1"/>
  <c r="G63" i="1"/>
  <c r="H63" i="1"/>
  <c r="I63" i="1"/>
  <c r="J63" i="1"/>
  <c r="F68" i="1"/>
  <c r="G68" i="1"/>
  <c r="H68" i="1"/>
  <c r="I68" i="1"/>
  <c r="J68" i="1"/>
  <c r="F72" i="1"/>
  <c r="G72" i="1"/>
  <c r="H72" i="1"/>
  <c r="I72" i="1"/>
  <c r="J72" i="1"/>
  <c r="F75" i="1"/>
  <c r="G75" i="1"/>
  <c r="H75" i="1"/>
  <c r="I75" i="1"/>
  <c r="J75" i="1"/>
  <c r="F77" i="1"/>
  <c r="G77" i="1"/>
  <c r="H77" i="1"/>
  <c r="I77" i="1"/>
  <c r="J77" i="1"/>
  <c r="F83" i="1"/>
  <c r="G83" i="1"/>
  <c r="H83" i="1"/>
  <c r="I83" i="1"/>
  <c r="J83" i="1"/>
  <c r="F90" i="1"/>
  <c r="G90" i="1"/>
  <c r="H90" i="1"/>
  <c r="I90" i="1"/>
  <c r="J90" i="1"/>
  <c r="F96" i="1"/>
  <c r="G96" i="1"/>
  <c r="H96" i="1"/>
  <c r="I96" i="1"/>
  <c r="J96" i="1"/>
  <c r="F99" i="1"/>
  <c r="G99" i="1"/>
  <c r="H99" i="1"/>
  <c r="I99" i="1"/>
  <c r="J99" i="1"/>
  <c r="F101" i="1"/>
  <c r="G101" i="1"/>
  <c r="H101" i="1"/>
  <c r="I101" i="1"/>
  <c r="J101" i="1"/>
  <c r="G126" i="1"/>
  <c r="H126" i="1"/>
  <c r="I126" i="1"/>
  <c r="J126" i="1"/>
  <c r="F127" i="1"/>
  <c r="G127" i="1"/>
  <c r="H127" i="1"/>
  <c r="I127" i="1"/>
  <c r="J127" i="1"/>
  <c r="F130" i="1"/>
  <c r="G130" i="1"/>
  <c r="H130" i="1"/>
  <c r="I130" i="1"/>
  <c r="J130" i="1"/>
  <c r="G137" i="1"/>
  <c r="H137" i="1"/>
  <c r="I137" i="1"/>
  <c r="J137" i="1"/>
  <c r="F139" i="1"/>
  <c r="G139" i="1"/>
  <c r="H139" i="1"/>
  <c r="I139" i="1"/>
  <c r="J139" i="1"/>
  <c r="F140" i="1"/>
  <c r="G140" i="1"/>
  <c r="H140" i="1"/>
  <c r="I140" i="1"/>
  <c r="J140" i="1"/>
  <c r="G143" i="1"/>
  <c r="H143" i="1"/>
  <c r="I143" i="1"/>
  <c r="J143" i="1"/>
  <c r="F144" i="1"/>
  <c r="G144" i="1"/>
  <c r="H144" i="1"/>
  <c r="I144" i="1"/>
  <c r="J144" i="1"/>
  <c r="F146" i="1"/>
  <c r="G146" i="1"/>
  <c r="H146" i="1"/>
  <c r="I146" i="1"/>
  <c r="J146" i="1"/>
  <c r="F147" i="1"/>
  <c r="G147" i="1"/>
  <c r="H147" i="1"/>
  <c r="I147" i="1"/>
  <c r="J147" i="1"/>
  <c r="F153" i="1"/>
  <c r="G153" i="1"/>
  <c r="H153" i="1"/>
  <c r="I153" i="1"/>
  <c r="J153" i="1"/>
  <c r="F157" i="1"/>
  <c r="G157" i="1"/>
  <c r="H157" i="1"/>
  <c r="I157" i="1"/>
  <c r="J157" i="1"/>
  <c r="F158" i="1"/>
  <c r="G158" i="1"/>
  <c r="H158" i="1"/>
  <c r="I158" i="1"/>
  <c r="J158" i="1"/>
  <c r="F168" i="1"/>
  <c r="G168" i="1"/>
  <c r="H168" i="1"/>
  <c r="I168" i="1"/>
  <c r="J168" i="1"/>
  <c r="F170" i="1"/>
  <c r="G170" i="1"/>
  <c r="H170" i="1"/>
  <c r="I170" i="1"/>
  <c r="J170" i="1"/>
  <c r="F176" i="1"/>
  <c r="G176" i="1"/>
  <c r="H176" i="1"/>
  <c r="I176" i="1"/>
  <c r="J176" i="1"/>
  <c r="F177" i="1"/>
  <c r="G177" i="1"/>
  <c r="H177" i="1"/>
  <c r="I177" i="1"/>
  <c r="J177" i="1"/>
  <c r="F178" i="1"/>
  <c r="G178" i="1"/>
  <c r="H178" i="1"/>
  <c r="I178" i="1"/>
  <c r="J178" i="1"/>
  <c r="F180" i="1"/>
  <c r="G180" i="1"/>
  <c r="H180" i="1"/>
  <c r="I180" i="1"/>
  <c r="J180" i="1"/>
  <c r="F181" i="1"/>
  <c r="G181" i="1"/>
  <c r="H181" i="1"/>
  <c r="I181" i="1"/>
  <c r="J181" i="1"/>
  <c r="F186" i="1"/>
  <c r="G186" i="1"/>
  <c r="H186" i="1"/>
  <c r="I186" i="1"/>
  <c r="J186" i="1"/>
  <c r="C193" i="1"/>
  <c r="C20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F16" authorId="0" shapeId="0" xr:uid="{41B543B7-0EA4-4289-92D8-BA3DBE6D913D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Micron uses a 52/53 week FY so cannot utilize traditional EOMONTH </t>
        </r>
      </text>
    </comment>
    <comment ref="H16" authorId="0" shapeId="0" xr:uid="{27750CA1-3290-4691-B687-4B11D09CCCF4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53 week FY</t>
        </r>
      </text>
    </comment>
    <comment ref="E33" authorId="0" shapeId="0" xr:uid="{9BD16FF4-80A1-4BFD-97C7-E5D5527D066A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Micron 2025 10-k Pg. 96</t>
        </r>
      </text>
    </comment>
    <comment ref="D44" authorId="0" shapeId="0" xr:uid="{3AF455B0-268C-4628-807E-74506BB7CDD0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Revisit</t>
        </r>
      </text>
    </comment>
    <comment ref="E108" authorId="0" shapeId="0" xr:uid="{E862E767-D58E-4C9C-AE24-987E15F886E6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MU 10-k Pg. 58</t>
        </r>
      </text>
    </comment>
    <comment ref="K116" authorId="0" shapeId="0" xr:uid="{7AAE3491-1898-411B-A85A-9D68ACD1995B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To bring in line with management expectations per 2025 10-k pg. 76</t>
        </r>
      </text>
    </comment>
    <comment ref="C130" authorId="0" shapeId="0" xr:uid="{028AF773-4A2B-4BAD-806E-89758C287891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From Micron 10-k pg. 67</t>
        </r>
      </text>
    </comment>
    <comment ref="E153" authorId="0" shapeId="0" xr:uid="{49F32C44-66EF-4FD0-9AEE-9C02A280D510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56" authorId="0" shapeId="0" xr:uid="{979A53D1-7156-4DD4-AB83-E3405F36CFEF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Note 12 Micro 10-k 2025
pg. 79 Revolving Credit facility 
</t>
        </r>
      </text>
    </comment>
    <comment ref="F164" authorId="0" shapeId="0" xr:uid="{9CB26331-0564-45AC-AC4E-65952DCB68BF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From Micron 10-k
Note 12, Pg. 77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C13" authorId="0" shapeId="0" xr:uid="{358D0A57-D95F-4F27-9A5E-954A71F0F853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Memory is sold by the bit so revenue is bits by ASP</t>
        </r>
      </text>
    </comment>
    <comment ref="G14" authorId="0" shapeId="0" xr:uid="{16B6A90A-ABF0-462C-AA84-04040FF0E72E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Based on Q4 2025 Earnings Call</t>
        </r>
      </text>
    </comment>
    <comment ref="G15" authorId="0" shapeId="0" xr:uid="{F875B3DA-2456-4ECD-A808-C619F6A71AFC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Based on Q4 2025 Earnings Call</t>
        </r>
      </text>
    </comment>
    <comment ref="G22" authorId="0" shapeId="0" xr:uid="{C01C476E-142E-4166-92BA-42C4745DA937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(1+bit growth) * (1+ASP) -1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  <author>Wall Street Prep</author>
    <author>Matan Feldman</author>
  </authors>
  <commentList>
    <comment ref="F12" authorId="0" shapeId="0" xr:uid="{22D0146F-607B-4C3C-B4C7-E058F9E3F872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Micron uses a 52/53 week FY so cannot utilize traditional EOMONTH </t>
        </r>
      </text>
    </comment>
    <comment ref="H12" authorId="0" shapeId="0" xr:uid="{B55F2AD5-C4B0-425F-A87A-8D1F954A6AA8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53 week FY</t>
        </r>
      </text>
    </comment>
    <comment ref="J69" authorId="1" shapeId="0" xr:uid="{D2263576-3DB6-4B52-8053-FB7244F672B2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Implied g = [r -FCF(t)/TV]/(1+FCF(t)/TV)</t>
        </r>
      </text>
    </comment>
    <comment ref="C80" authorId="2" shapeId="0" xr:uid="{F1FED443-88E2-4866-9C7F-E5B0E387FF0F}">
      <text>
        <r>
          <rPr>
            <b/>
            <sz val="9"/>
            <color indexed="81"/>
            <rFont val="Tahoma"/>
            <family val="2"/>
          </rPr>
          <t>Matan Feldman:</t>
        </r>
        <r>
          <rPr>
            <sz val="9"/>
            <color indexed="81"/>
            <rFont val="Tahoma"/>
            <family val="2"/>
          </rPr>
          <t xml:space="preserve">
Include cash &amp; equivalents, short term and long term marketable securites and investments</t>
        </r>
      </text>
    </comment>
  </commentList>
</comments>
</file>

<file path=xl/sharedStrings.xml><?xml version="1.0" encoding="utf-8"?>
<sst xmlns="http://schemas.openxmlformats.org/spreadsheetml/2006/main" count="354" uniqueCount="249">
  <si>
    <t>Company name</t>
  </si>
  <si>
    <t>Ticker</t>
  </si>
  <si>
    <t>Circ break 1=off, 0=on</t>
  </si>
  <si>
    <t>Latest closing share price</t>
  </si>
  <si>
    <t>Latest closing share price date</t>
  </si>
  <si>
    <t>Latest fiscal year end date</t>
  </si>
  <si>
    <t>Shares outstanding (millions)</t>
  </si>
  <si>
    <t>INCOME STATEMENT</t>
  </si>
  <si>
    <t xml:space="preserve">Fiscal year  </t>
  </si>
  <si>
    <t>Fiscal year end date</t>
  </si>
  <si>
    <t>Revenue</t>
  </si>
  <si>
    <t>Cost of sales (enter as -)</t>
  </si>
  <si>
    <t>Gross Profit</t>
  </si>
  <si>
    <t>Research &amp; development (enter as -)</t>
  </si>
  <si>
    <t>Selling, general &amp; administrative (enter as -)</t>
  </si>
  <si>
    <t>Operating profit (EBIT)</t>
  </si>
  <si>
    <t>Interest income</t>
  </si>
  <si>
    <t>Interest expense (enter as -)</t>
  </si>
  <si>
    <t>Other expense, net (enter as -)</t>
  </si>
  <si>
    <t>Pretax profit</t>
  </si>
  <si>
    <t>Taxes (enter expense as -)</t>
  </si>
  <si>
    <t>Net income</t>
  </si>
  <si>
    <t>Depreciation &amp; amortization</t>
  </si>
  <si>
    <t>EBITDA</t>
  </si>
  <si>
    <t>Stock based compensation</t>
  </si>
  <si>
    <t>Adjusted EBITDA</t>
  </si>
  <si>
    <t>Growth rates &amp; margins</t>
  </si>
  <si>
    <t>Revenue growth</t>
  </si>
  <si>
    <t>Gross profit margin</t>
  </si>
  <si>
    <t>R&amp;D % of sales</t>
  </si>
  <si>
    <t>SG&amp;A % of sales</t>
  </si>
  <si>
    <t>Tax rate</t>
  </si>
  <si>
    <t>BALANCE SHEET</t>
  </si>
  <si>
    <t>Cash &amp; equivalents, ST and LT marketable securities</t>
  </si>
  <si>
    <t>Accounts receivable</t>
  </si>
  <si>
    <t>Inventories</t>
  </si>
  <si>
    <t>Other current assets</t>
  </si>
  <si>
    <t>Property, plant &amp; equipment</t>
  </si>
  <si>
    <t>Other non current assets</t>
  </si>
  <si>
    <t>Total assets</t>
  </si>
  <si>
    <t>Accounts payable</t>
  </si>
  <si>
    <t>Other current liabilities</t>
  </si>
  <si>
    <t>Commercial paper / revolver</t>
  </si>
  <si>
    <t>Long term debt (includes current portion)</t>
  </si>
  <si>
    <t>Other non current liabilities</t>
  </si>
  <si>
    <t>Total liabilities</t>
  </si>
  <si>
    <t>Common stock</t>
  </si>
  <si>
    <t xml:space="preserve">Retained earnings </t>
  </si>
  <si>
    <t>Other comprehensive income</t>
  </si>
  <si>
    <t>Total equity</t>
  </si>
  <si>
    <t>Balance check</t>
  </si>
  <si>
    <t>CASH FLOW STATEMENT</t>
  </si>
  <si>
    <t>Depreciation and amortization</t>
  </si>
  <si>
    <t>Decreases / (Increases) in working capital assets</t>
  </si>
  <si>
    <t>Increases / (Decreases) in working capital liabilities</t>
  </si>
  <si>
    <t>Cash from operating activities</t>
  </si>
  <si>
    <t>Capital expenditures</t>
  </si>
  <si>
    <t>Cash from investing activities</t>
  </si>
  <si>
    <t>Long term debt</t>
  </si>
  <si>
    <t>Revolver</t>
  </si>
  <si>
    <t>Share repurchases</t>
  </si>
  <si>
    <t>Common dividends</t>
  </si>
  <si>
    <t>Cash from financing activities</t>
  </si>
  <si>
    <t>Net change in cash during period</t>
  </si>
  <si>
    <t>PROPERTY, PLANT &amp; EQUIPMENT</t>
  </si>
  <si>
    <t>Beginning of period</t>
  </si>
  <si>
    <t>Plus: Capital expenditures</t>
  </si>
  <si>
    <t>Less: Depreciation</t>
  </si>
  <si>
    <t>End of period</t>
  </si>
  <si>
    <t>Step</t>
  </si>
  <si>
    <t>D&amp;A related to PP&amp;E as a % of capex</t>
  </si>
  <si>
    <t>IMPUTING TOTAL DEPRECIATION &amp; AMORTIZATION</t>
  </si>
  <si>
    <r>
      <t xml:space="preserve">D&amp;A </t>
    </r>
    <r>
      <rPr>
        <u/>
        <sz val="11"/>
        <color theme="1"/>
        <rFont val="Aptos Narrow"/>
        <family val="2"/>
        <scheme val="minor"/>
      </rPr>
      <t>not</t>
    </r>
    <r>
      <rPr>
        <sz val="11"/>
        <color theme="1"/>
        <rFont val="Aptos Narrow"/>
        <family val="2"/>
        <scheme val="minor"/>
      </rPr>
      <t xml:space="preserve"> related to PP&amp;E</t>
    </r>
  </si>
  <si>
    <t>as % of revenue</t>
  </si>
  <si>
    <t xml:space="preserve">Depreciation &amp; Amortization - Total </t>
  </si>
  <si>
    <t>OTHER NON-CURRENT ASSETS</t>
  </si>
  <si>
    <t xml:space="preserve">Plus: Additions </t>
  </si>
  <si>
    <t>RETAINED EARNINGS</t>
  </si>
  <si>
    <t>Plus: Net income</t>
  </si>
  <si>
    <t>Less: Dividends</t>
  </si>
  <si>
    <t>Less: Repurchases</t>
  </si>
  <si>
    <t>REVOLVER (MODEL PLUG)</t>
  </si>
  <si>
    <t>Revolver needs analysis</t>
  </si>
  <si>
    <t>Cash at beginning of period (BOP)</t>
  </si>
  <si>
    <t>Less: Minimum cash balance</t>
  </si>
  <si>
    <t>Plus: Free cash flows generated during period</t>
  </si>
  <si>
    <t>Equals: Cash available (needed) to pay down (draw from) revolver</t>
  </si>
  <si>
    <t>Commercial paper / Revolver</t>
  </si>
  <si>
    <t>Draw / (paydown)</t>
  </si>
  <si>
    <t>Discretionary borrowing / (paydown)</t>
  </si>
  <si>
    <t>Debt balance:</t>
  </si>
  <si>
    <t>INTEREST EXPENSE AND INTEREST INCOME</t>
  </si>
  <si>
    <t>Commercial Paper / Revolver</t>
  </si>
  <si>
    <t>Weighted average interest rate</t>
  </si>
  <si>
    <t>End of period balance (from B/S)</t>
  </si>
  <si>
    <t>Interest expense</t>
  </si>
  <si>
    <t xml:space="preserve">Interest expense </t>
  </si>
  <si>
    <t>Interest rate on cash</t>
  </si>
  <si>
    <t>Weighted average interest rate on cash</t>
  </si>
  <si>
    <t>SENSITIVITY ANALYSIS</t>
  </si>
  <si>
    <t>Revenue growth rate</t>
  </si>
  <si>
    <t>Gross</t>
  </si>
  <si>
    <t>Profit</t>
  </si>
  <si>
    <t>Margin:</t>
  </si>
  <si>
    <t>SCENARIO ANALYSIS</t>
  </si>
  <si>
    <t>Active case:</t>
  </si>
  <si>
    <t xml:space="preserve">Var. from </t>
  </si>
  <si>
    <t>base case</t>
  </si>
  <si>
    <t>Best case</t>
  </si>
  <si>
    <t>Base case</t>
  </si>
  <si>
    <t>NM</t>
  </si>
  <si>
    <t>Weak case</t>
  </si>
  <si>
    <t>EARNINGS PER SHARE</t>
  </si>
  <si>
    <t xml:space="preserve">Basic shares </t>
  </si>
  <si>
    <t>Basic EPS</t>
  </si>
  <si>
    <t>Diluted Shares</t>
  </si>
  <si>
    <t>Diluted EPS</t>
  </si>
  <si>
    <t>$ amount of shares repurchased</t>
  </si>
  <si>
    <t>$ amount of new shares issued</t>
  </si>
  <si>
    <t>Price / volume build</t>
  </si>
  <si>
    <t>Revenue by product</t>
  </si>
  <si>
    <t>Core products</t>
  </si>
  <si>
    <t>% growth</t>
  </si>
  <si>
    <t>Micron</t>
  </si>
  <si>
    <t>MU</t>
  </si>
  <si>
    <t>x</t>
  </si>
  <si>
    <t>Less: Amortization of intangible assets</t>
  </si>
  <si>
    <t>Operating lease right-of-use assets</t>
  </si>
  <si>
    <t>Intangible assets</t>
  </si>
  <si>
    <t>Deferred tax assets</t>
  </si>
  <si>
    <t>Goodwill</t>
  </si>
  <si>
    <t>Noncurrent unearned government incentives</t>
  </si>
  <si>
    <t xml:space="preserve">Noncurrent operating lease liabilities </t>
  </si>
  <si>
    <t>Total interest expense</t>
  </si>
  <si>
    <t>Average cash balance (from B/S)</t>
  </si>
  <si>
    <t>Additional Capital</t>
  </si>
  <si>
    <t>Treasury Stock</t>
  </si>
  <si>
    <t>Restructuring &amp; asset impairments</t>
  </si>
  <si>
    <t>Other operating income (expense), net</t>
  </si>
  <si>
    <t>Active Case</t>
  </si>
  <si>
    <t>DRAM Sales</t>
  </si>
  <si>
    <t>NAND Sales</t>
  </si>
  <si>
    <t xml:space="preserve"> </t>
  </si>
  <si>
    <t>Total DRAM + NAND Sales</t>
  </si>
  <si>
    <t>Target P/E</t>
  </si>
  <si>
    <t>Revenue Growth Rate</t>
  </si>
  <si>
    <t>First forecast year net income sensitivity</t>
  </si>
  <si>
    <t>Avg price (share count only)</t>
  </si>
  <si>
    <t>DRAM</t>
  </si>
  <si>
    <t>NAND</t>
  </si>
  <si>
    <t>Average Selling Price Change</t>
  </si>
  <si>
    <t>Total Revenue</t>
  </si>
  <si>
    <t>Revenue Growth</t>
  </si>
  <si>
    <t>First forecast year Diluted EPS sensitivity</t>
  </si>
  <si>
    <t>Bit Demand Growth</t>
  </si>
  <si>
    <t>$ in millions except per share</t>
  </si>
  <si>
    <t xml:space="preserve">N/M </t>
  </si>
  <si>
    <t>Additions/ (Repayments)</t>
  </si>
  <si>
    <t>Amount outstanding - beginning</t>
  </si>
  <si>
    <t>Amount outstanding - ending</t>
  </si>
  <si>
    <t>SBC Increase</t>
  </si>
  <si>
    <t>Discounted Cash Flow Valuation</t>
  </si>
  <si>
    <t>Most recent fiscal year end</t>
  </si>
  <si>
    <t>Discount rate (WACC)</t>
  </si>
  <si>
    <t>End of first fiscal year</t>
  </si>
  <si>
    <t>Most recent quarter end date</t>
  </si>
  <si>
    <t>Share price date</t>
  </si>
  <si>
    <t xml:space="preserve">Valuation date </t>
  </si>
  <si>
    <t>Midyear adjustment?</t>
  </si>
  <si>
    <t>Portion of First Year Cash Flows</t>
  </si>
  <si>
    <t>Case active:</t>
  </si>
  <si>
    <t>Unlevered Free Cash Flows</t>
  </si>
  <si>
    <t>% margin</t>
  </si>
  <si>
    <t>EBIT</t>
  </si>
  <si>
    <t>Tax on EBIT</t>
  </si>
  <si>
    <t>NOPAT (aka EBIAT)</t>
  </si>
  <si>
    <t>Changes in net working capital</t>
  </si>
  <si>
    <t>Unlevered free cash flows (UFCF)</t>
  </si>
  <si>
    <t>Net working capital (WC Assets - WC liabilities)</t>
  </si>
  <si>
    <t>Val date</t>
  </si>
  <si>
    <t xml:space="preserve">Yr 1 - Stub </t>
  </si>
  <si>
    <t>Year 2</t>
  </si>
  <si>
    <t>Year 3</t>
  </si>
  <si>
    <t>Year 4</t>
  </si>
  <si>
    <t>Year 5</t>
  </si>
  <si>
    <t>Date for discounting cash flows</t>
  </si>
  <si>
    <t>Unlevered free cash flows (UFCF) stub adjusted</t>
  </si>
  <si>
    <t>Present value of of unlevered free cash flows</t>
  </si>
  <si>
    <t>Terminal value - growth in perpetuity approach</t>
  </si>
  <si>
    <t>Terminal value - EBITDA multiple approach</t>
  </si>
  <si>
    <t>Long term growth rate</t>
  </si>
  <si>
    <t>Terminal year EBITDA</t>
  </si>
  <si>
    <t>EBITDA multiple</t>
  </si>
  <si>
    <t>Present value of terminal value</t>
  </si>
  <si>
    <t>Present value of stage 1 cash flows</t>
  </si>
  <si>
    <t>Total enterprise value (TEV)</t>
  </si>
  <si>
    <t>Enterprise value (stage 1 + 2)</t>
  </si>
  <si>
    <t>Terminal value as % of TEV</t>
  </si>
  <si>
    <t>Stage 1 cash flows as % of TEV</t>
  </si>
  <si>
    <t>Cash flows as % of TEV</t>
  </si>
  <si>
    <t>Implied TV exit EBITDA multiple</t>
  </si>
  <si>
    <t>Implied terminal growth rate</t>
  </si>
  <si>
    <t>Net debt</t>
  </si>
  <si>
    <t>Shares outstanding</t>
  </si>
  <si>
    <t>Source doc</t>
  </si>
  <si>
    <t>Source date</t>
  </si>
  <si>
    <t>Gross debt and equivalents</t>
  </si>
  <si>
    <t>Debt</t>
  </si>
  <si>
    <t>Convertible debt</t>
  </si>
  <si>
    <t>Preferred stock</t>
  </si>
  <si>
    <t>Noncontrolling (minority) interests</t>
  </si>
  <si>
    <t>Nonoperating assets</t>
  </si>
  <si>
    <t>Net diluted shares outstanding</t>
  </si>
  <si>
    <t xml:space="preserve">Cash </t>
  </si>
  <si>
    <t xml:space="preserve">Equity investments </t>
  </si>
  <si>
    <t>Valuation</t>
  </si>
  <si>
    <t>Perpetuity</t>
  </si>
  <si>
    <t>Enterprise value</t>
  </si>
  <si>
    <t xml:space="preserve">Equity value </t>
  </si>
  <si>
    <t>Equity value per share</t>
  </si>
  <si>
    <t>EV / Revenue</t>
  </si>
  <si>
    <t xml:space="preserve">EV / EBITDA </t>
  </si>
  <si>
    <t>EV / EBIT</t>
  </si>
  <si>
    <t>Year 1</t>
  </si>
  <si>
    <t>Weighted Average Cost of Capital</t>
  </si>
  <si>
    <r>
      <t>Risk free rate (R</t>
    </r>
    <r>
      <rPr>
        <vertAlign val="subscript"/>
        <sz val="10"/>
        <rFont val="Aptos Narrow"/>
        <family val="2"/>
        <scheme val="minor"/>
      </rPr>
      <t>f</t>
    </r>
    <r>
      <rPr>
        <sz val="11"/>
        <color theme="1"/>
        <rFont val="Aptos Narrow"/>
        <family val="2"/>
        <scheme val="minor"/>
      </rPr>
      <t>)</t>
    </r>
  </si>
  <si>
    <t>Equity Beta</t>
  </si>
  <si>
    <r>
      <t>Equity risk premium (R</t>
    </r>
    <r>
      <rPr>
        <vertAlign val="subscript"/>
        <sz val="10"/>
        <rFont val="Aptos Narrow"/>
        <family val="2"/>
        <scheme val="minor"/>
      </rPr>
      <t>m</t>
    </r>
    <r>
      <rPr>
        <sz val="11"/>
        <color theme="1"/>
        <rFont val="Aptos Narrow"/>
        <family val="2"/>
        <scheme val="minor"/>
      </rPr>
      <t xml:space="preserve"> - R</t>
    </r>
    <r>
      <rPr>
        <vertAlign val="subscript"/>
        <sz val="10"/>
        <rFont val="Aptos Narrow"/>
        <family val="2"/>
        <scheme val="minor"/>
      </rPr>
      <t>f</t>
    </r>
    <r>
      <rPr>
        <sz val="11"/>
        <color theme="1"/>
        <rFont val="Aptos Narrow"/>
        <family val="2"/>
        <scheme val="minor"/>
      </rPr>
      <t>)</t>
    </r>
  </si>
  <si>
    <r>
      <t>Cost of Equity (K</t>
    </r>
    <r>
      <rPr>
        <b/>
        <vertAlign val="subscript"/>
        <sz val="8"/>
        <rFont val="Aptos Narrow"/>
        <family val="2"/>
        <scheme val="minor"/>
      </rPr>
      <t>e</t>
    </r>
    <r>
      <rPr>
        <b/>
        <sz val="10"/>
        <rFont val="Aptos Narrow"/>
        <family val="2"/>
        <scheme val="minor"/>
      </rPr>
      <t>)</t>
    </r>
  </si>
  <si>
    <t>Cost of debt</t>
  </si>
  <si>
    <r>
      <t>After-tax Cost of Debt (K</t>
    </r>
    <r>
      <rPr>
        <b/>
        <vertAlign val="subscript"/>
        <sz val="8"/>
        <rFont val="Aptos Narrow"/>
        <family val="2"/>
        <scheme val="minor"/>
      </rPr>
      <t>dt</t>
    </r>
    <r>
      <rPr>
        <b/>
        <sz val="10"/>
        <rFont val="Aptos Narrow"/>
        <family val="2"/>
        <scheme val="minor"/>
      </rPr>
      <t>)</t>
    </r>
  </si>
  <si>
    <t>Percentage of Capital</t>
  </si>
  <si>
    <t>Equity</t>
  </si>
  <si>
    <t>Total capital</t>
  </si>
  <si>
    <t>Micron Q2 2026 10-Q</t>
  </si>
  <si>
    <t>Last Twelve Months (LTM)</t>
  </si>
  <si>
    <t>Sensitivity Analysis</t>
  </si>
  <si>
    <t>WACC</t>
  </si>
  <si>
    <t>Exit EBITDA Multiple</t>
  </si>
  <si>
    <t>Long Term Growth Rate</t>
  </si>
  <si>
    <t>Equity Value Per Share</t>
  </si>
  <si>
    <t>Year 1 EBITDA Multiple</t>
  </si>
  <si>
    <t>Low</t>
  </si>
  <si>
    <t>Diff.</t>
  </si>
  <si>
    <t>High</t>
  </si>
  <si>
    <t>52 Week Market High/Low</t>
  </si>
  <si>
    <t>Base Case</t>
  </si>
  <si>
    <t>Revenue contribution above DRAM + NAND sales</t>
  </si>
  <si>
    <t xml:space="preserve">Share price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</si>
</sst>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3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_);\(0.0%\);@_)"/>
    <numFmt numFmtId="165" formatCode="#,##0.0_);\(#,##0.0\);@_)"/>
    <numFmt numFmtId="166" formatCode="#,##0.00_);\(#,##0\)"/>
    <numFmt numFmtId="167" formatCode="#,##0.0%_);\(#,##0.0%\)"/>
    <numFmt numFmtId="168" formatCode="0.0\ \x"/>
    <numFmt numFmtId="169" formatCode="#,##0.00\ ;\(#,##0.00\)"/>
    <numFmt numFmtId="170" formatCode="&quot;$&quot;#,##0.00\ ;\(&quot;$&quot;#,##0.00\)"/>
    <numFmt numFmtId="171" formatCode="0.0%_);\(0.0%\)"/>
    <numFmt numFmtId="172" formatCode="0.000\ \x&quot;rate&quot;"/>
    <numFmt numFmtId="173" formatCode="#,##0.000_);[Red]\(#,##0.000\)"/>
    <numFmt numFmtId="174" formatCode="0.00_);\(0.00\);0.00"/>
    <numFmt numFmtId="175" formatCode="\C&quot;$&quot;#,##0.00_);[Red]\(&quot;$&quot;#,##0.00\)"/>
    <numFmt numFmtId="176" formatCode="#,##0%_);\(#,##0.0%\)"/>
    <numFmt numFmtId="177" formatCode="_(* #,##0.00000000_);_(* \(#,##0.00000000\);_(* &quot;-&quot;?_);_(@_)"/>
    <numFmt numFmtId="178" formatCode="mmm\-d\-yyyy"/>
    <numFmt numFmtId="179" formatCode="mmm\-yyyy"/>
    <numFmt numFmtId="180" formatCode="yyyy"/>
    <numFmt numFmtId="181" formatCode="0.00\x&quot;rate&quot;"/>
    <numFmt numFmtId="182" formatCode="0.0&quot;  &quot;"/>
    <numFmt numFmtId="183" formatCode="&quot;$&quot;#,##0.0\ ;[Red]\(&quot;$&quot;#,##0\)"/>
    <numFmt numFmtId="184" formatCode="&quot;$&quot;#,##0.000_);[Red]\(&quot;$&quot;#,##0.000\)"/>
    <numFmt numFmtId="185" formatCode="&quot;$&quot;#,##0.00&quot;A&quot;;[Red]\(&quot;$&quot;#,##0.00\)&quot;A&quot;"/>
    <numFmt numFmtId="186" formatCode="#,##0.0\ ;[Red]\(&quot;$&quot;#,##0\)"/>
    <numFmt numFmtId="187" formatCode="&quot;$&quot;#,##0.00&quot;E&quot;;[Red]\(&quot;$&quot;#,##0.00\)&quot;E&quot;"/>
    <numFmt numFmtId="188" formatCode="_([$€-2]* #,##0.00_);_([$€-2]* \(#,##0.00\);_([$€-2]* &quot;-&quot;??_)"/>
    <numFmt numFmtId="189" formatCode="#,##0.00;\(#,##0.00\)"/>
    <numFmt numFmtId="190" formatCode=".%\,\(0.0%%;\t"/>
    <numFmt numFmtId="191" formatCode="#,##0.0_);[Red]\(#,##0.0\)"/>
    <numFmt numFmtId="192" formatCode="0.0%_);[Red]\(0.0%\)"/>
    <numFmt numFmtId="193" formatCode="0.00_);\(0.00\);0.00_)"/>
    <numFmt numFmtId="194" formatCode="0.0%"/>
    <numFmt numFmtId="195" formatCode="#,##0\x"/>
    <numFmt numFmtId="196" formatCode="&quot;TKR&quot;\ 0"/>
    <numFmt numFmtId="197" formatCode=".%\,\(0.%%;\t"/>
    <numFmt numFmtId="198" formatCode="&quot;$&quot;#,###.0\ \ "/>
    <numFmt numFmtId="199" formatCode="#,##0.00\x_);[Red]\(#,##0.00\x\)"/>
    <numFmt numFmtId="200" formatCode="#,##0.0_);\(#,##0.0\)"/>
    <numFmt numFmtId="201" formatCode="#,##0.000_);\(#,##0.000\)"/>
    <numFmt numFmtId="202" formatCode="#,##0.00\x_);[Red]\(#,##0.00\x\);&quot;--  &quot;"/>
    <numFmt numFmtId="203" formatCode="_(* #,##0.0_);_(* \(#,##0.0\);_(* &quot;-&quot;??_);_(@_)"/>
    <numFmt numFmtId="204" formatCode="0.0\x_);[Red]\(0.0\x\)"/>
    <numFmt numFmtId="205" formatCode="0.0\ "/>
    <numFmt numFmtId="206" formatCode="&quot;$&quot;#,##0.0;\(&quot;$&quot;#,##0.00\)"/>
    <numFmt numFmtId="207" formatCode="#,##0.00%_);\(#,##0.00%\)"/>
    <numFmt numFmtId="208" formatCode="0.00\%;\-0.00\%;0.00\%"/>
    <numFmt numFmtId="209" formatCode="0.0%\ ;\(0.0%\)"/>
    <numFmt numFmtId="210" formatCode="_(&quot;$&quot;* #,##0_);_(&quot;$&quot;* \(#,##0\);_(&quot;$&quot;* &quot;-&quot;??_);_(@_)"/>
    <numFmt numFmtId="211" formatCode="&quot;$&quot;0.00\ "/>
    <numFmt numFmtId="212" formatCode="0.0\ \ \ \ \ "/>
    <numFmt numFmtId="213" formatCode="0.00\x;\-0.00\x;0.00\x"/>
    <numFmt numFmtId="214" formatCode="&quot;$&quot;#,##0.000_);\(&quot;$&quot;#,##0.000\)"/>
    <numFmt numFmtId="215" formatCode="#,##0.0_);\(#,##0.0\);_(* &quot;-&quot;_)"/>
    <numFmt numFmtId="216" formatCode="_(&quot;$&quot;* #,##0.00_);_(&quot;$&quot;* \(#,##0.00\);_(* &quot;-&quot;_);_(@_)"/>
    <numFmt numFmtId="217" formatCode="0.00%_);[Red]\(0.00%\)"/>
    <numFmt numFmtId="218" formatCode="#,##0.0\x_);\(#,##0.0\x\)"/>
    <numFmt numFmtId="219" formatCode="#,##0.00\x_);\(#,##0.00\x\)"/>
    <numFmt numFmtId="220" formatCode="###0&quot;E&quot;_)"/>
    <numFmt numFmtId="221" formatCode="0\A;[Red]0\A"/>
    <numFmt numFmtId="222" formatCode="0\P_);\(0\P\)"/>
    <numFmt numFmtId="223" formatCode="m/d/yy;@"/>
    <numFmt numFmtId="224" formatCode="#,##0_);\(#,##0\);@_)"/>
    <numFmt numFmtId="225" formatCode="0.00%_);\(0.00%\);@_)"/>
    <numFmt numFmtId="226" formatCode="0%_);\(0%\);@_)"/>
    <numFmt numFmtId="227" formatCode="[&gt;1]&quot;10Q: &quot;0&quot; qtrs&quot;;&quot;10Q: &quot;0&quot; qtr&quot;"/>
    <numFmt numFmtId="228" formatCode="&quot;$&quot;#,##0.00_);[Red]\(&quot;$&quot;#,##0.00\);&quot;--  &quot;;_(@_)"/>
    <numFmt numFmtId="229" formatCode="mmm\-dd\-yy"/>
    <numFmt numFmtId="230" formatCode="mmm\-dd\-yyyy"/>
    <numFmt numFmtId="231" formatCode="#,##0.0_);[Red]\(#,##0.0\);&quot;--  &quot;"/>
    <numFmt numFmtId="232" formatCode="0.00\x"/>
    <numFmt numFmtId="233" formatCode="0.0&quot; years&quot;"/>
    <numFmt numFmtId="234" formatCode="_(#,##0.0%_);\(#,##0.0%\);_(&quot;–&quot;_)_%;_(@_)_%"/>
    <numFmt numFmtId="235" formatCode="_(#,##0_)_%;\(#,##0\)_%;_(&quot;–&quot;_)_%;_(@_)_%"/>
    <numFmt numFmtId="236" formatCode="0.0%;\(0.0%\)"/>
    <numFmt numFmtId="237" formatCode="0.0%;\ \(0.0%\)"/>
    <numFmt numFmtId="238" formatCode="_(#,##0.0000%_);\(#,##0.0000%\);_(&quot;–&quot;_)_%;_(@_)_%"/>
    <numFmt numFmtId="239" formatCode="0.0\x"/>
    <numFmt numFmtId="240" formatCode="0\P;[Red]0\P"/>
    <numFmt numFmtId="241" formatCode="#,##0_);\(#,##0\);&quot;-&quot;_)"/>
    <numFmt numFmtId="242" formatCode="0000\A"/>
    <numFmt numFmtId="243" formatCode="0000\P"/>
    <numFmt numFmtId="244" formatCode="0.0\x_);\(0.0\x\);@_)"/>
    <numFmt numFmtId="245" formatCode="0.000%_);\(0.000%\);@_)"/>
    <numFmt numFmtId="246" formatCode="#,##0.000_);\(#,##0.000\);@_)"/>
    <numFmt numFmtId="247" formatCode="&quot;$&quot;#,##0.00_);\(&quot;$&quot;#,##0.00\);@_)"/>
    <numFmt numFmtId="248" formatCode="_(0.0\x_)_';_(\(0.0\x\)_';_(&quot;–&quot;_)_%;_(@_)_%"/>
    <numFmt numFmtId="249" formatCode="_(0.0_)_'_x;_(\(0.0\)_';_(&quot;–&quot;_)_%;_(@_)_%"/>
    <numFmt numFmtId="250" formatCode="_(* #,##0_);_(* \(#,##0\);_(* &quot;-&quot;??_);_(@_)"/>
  </numFmts>
  <fonts count="10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name val="GillSans"/>
    </font>
    <font>
      <sz val="8"/>
      <color indexed="49"/>
      <name val="Times New Roman"/>
      <family val="1"/>
    </font>
    <font>
      <sz val="10"/>
      <name val="Arial"/>
      <family val="2"/>
    </font>
    <font>
      <sz val="10"/>
      <name val="Trebuchet MS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8"/>
      <name val="Times New Roman"/>
      <family val="1"/>
    </font>
    <font>
      <sz val="10"/>
      <name val="Times New Roman"/>
      <family val="1"/>
    </font>
    <font>
      <b/>
      <sz val="18"/>
      <name val="Tms Rmn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b/>
      <sz val="7"/>
      <name val="GillSans"/>
    </font>
    <font>
      <sz val="10"/>
      <name val="Geneva"/>
    </font>
    <font>
      <sz val="24"/>
      <name val="Arial"/>
      <family val="2"/>
    </font>
    <font>
      <sz val="8"/>
      <name val="Arial"/>
      <family val="2"/>
    </font>
    <font>
      <sz val="10"/>
      <name val="Helvetica"/>
      <family val="2"/>
    </font>
    <font>
      <b/>
      <sz val="8"/>
      <name val="Arial"/>
      <family val="2"/>
    </font>
    <font>
      <b/>
      <sz val="8"/>
      <name val="Times New Roman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i/>
      <sz val="8"/>
      <color indexed="17"/>
      <name val="Times New Roman"/>
      <family val="1"/>
    </font>
    <font>
      <sz val="8"/>
      <color indexed="21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0"/>
      <color indexed="12"/>
      <name val="Trebuchet MS"/>
      <family val="2"/>
    </font>
    <font>
      <sz val="10"/>
      <name val="MS Sans Serif"/>
      <family val="2"/>
    </font>
    <font>
      <sz val="11"/>
      <color indexed="62"/>
      <name val="Calibri"/>
      <family val="2"/>
    </font>
    <font>
      <b/>
      <sz val="10"/>
      <color indexed="9"/>
      <name val="Tms Rmn"/>
    </font>
    <font>
      <b/>
      <sz val="10"/>
      <name val="Arial"/>
      <family val="2"/>
    </font>
    <font>
      <sz val="11"/>
      <color indexed="52"/>
      <name val="Calibri"/>
      <family val="2"/>
    </font>
    <font>
      <sz val="8"/>
      <color indexed="18"/>
      <name val="Times New Roman"/>
      <family val="1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0"/>
      <name val="Palatino"/>
    </font>
    <font>
      <sz val="12"/>
      <name val="Baskerville MT"/>
    </font>
    <font>
      <u/>
      <sz val="10"/>
      <name val="GillSans"/>
      <family val="2"/>
    </font>
    <font>
      <sz val="10"/>
      <name val="GillSans Light"/>
    </font>
    <font>
      <b/>
      <sz val="12"/>
      <name val="Arial"/>
      <family val="2"/>
    </font>
    <font>
      <b/>
      <sz val="16"/>
      <name val="Arial"/>
      <family val="2"/>
    </font>
    <font>
      <sz val="8"/>
      <name val="MS Sans Serif"/>
      <family val="2"/>
    </font>
    <font>
      <sz val="8.25"/>
      <color indexed="8"/>
      <name val="Arial"/>
      <family val="2"/>
    </font>
    <font>
      <b/>
      <u val="singleAccounting"/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39"/>
      <name val="Arial"/>
      <family val="2"/>
    </font>
    <font>
      <sz val="7"/>
      <name val="Times New Roman"/>
      <family val="1"/>
    </font>
    <font>
      <sz val="7"/>
      <color indexed="17"/>
      <name val="Times New Roman"/>
      <family val="1"/>
    </font>
    <font>
      <sz val="7"/>
      <color indexed="18"/>
      <name val="Times New Roman"/>
      <family val="1"/>
    </font>
    <font>
      <b/>
      <sz val="12"/>
      <name val="GillSans"/>
      <family val="2"/>
    </font>
    <font>
      <b/>
      <sz val="18"/>
      <color indexed="56"/>
      <name val="Cambria"/>
      <family val="2"/>
    </font>
    <font>
      <b/>
      <sz val="11"/>
      <name val="GillSans"/>
    </font>
    <font>
      <b/>
      <sz val="8"/>
      <color indexed="18"/>
      <name val="Times New Roman"/>
      <family val="1"/>
    </font>
    <font>
      <i/>
      <sz val="8"/>
      <name val="Times New Roman"/>
      <family val="1"/>
    </font>
    <font>
      <u/>
      <sz val="11"/>
      <name val="GillSans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11"/>
      <color rgb="FF000000"/>
      <name val="Aptos Narrow"/>
      <family val="2"/>
      <scheme val="minor"/>
    </font>
    <font>
      <sz val="9"/>
      <color indexed="81"/>
      <name val="Tahoma"/>
      <family val="2"/>
    </font>
    <font>
      <i/>
      <sz val="11"/>
      <color rgb="FF000000"/>
      <name val="Aptos Narrow"/>
      <family val="2"/>
      <scheme val="minor"/>
    </font>
    <font>
      <b/>
      <sz val="11"/>
      <color rgb="FF008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0000FF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8"/>
      <color indexed="8"/>
      <name val="Verdana"/>
      <family val="2"/>
    </font>
    <font>
      <sz val="8"/>
      <color indexed="12"/>
      <name val="Arial"/>
      <family val="2"/>
    </font>
    <font>
      <sz val="1"/>
      <color indexed="9"/>
      <name val="Symbol"/>
      <family val="1"/>
      <charset val="2"/>
    </font>
    <font>
      <sz val="11"/>
      <color indexed="8"/>
      <name val="Aptos Narrow"/>
      <family val="2"/>
      <scheme val="minor"/>
    </font>
    <font>
      <b/>
      <u val="singleAccounting"/>
      <sz val="8"/>
      <color indexed="8"/>
      <name val="Verdana"/>
      <family val="2"/>
    </font>
    <font>
      <b/>
      <sz val="10"/>
      <color indexed="9"/>
      <name val="Arial"/>
      <family val="2"/>
    </font>
    <font>
      <b/>
      <sz val="12"/>
      <color indexed="8"/>
      <name val="Verdana"/>
      <family val="2"/>
    </font>
    <font>
      <sz val="8"/>
      <color indexed="10"/>
      <name val="Arial"/>
      <family val="2"/>
    </font>
    <font>
      <b/>
      <sz val="8"/>
      <color indexed="9"/>
      <name val="Verdana"/>
      <family val="2"/>
    </font>
    <font>
      <vertAlign val="subscript"/>
      <sz val="8"/>
      <color indexed="8"/>
      <name val="Arial"/>
      <family val="2"/>
    </font>
    <font>
      <vertAlign val="superscript"/>
      <sz val="8"/>
      <color indexed="8"/>
      <name val="Arial"/>
      <family val="2"/>
    </font>
    <font>
      <b/>
      <sz val="8"/>
      <color indexed="8"/>
      <name val="Arial"/>
      <family val="2"/>
    </font>
    <font>
      <i/>
      <sz val="8"/>
      <color indexed="8"/>
      <name val="Arial"/>
      <family val="2"/>
    </font>
    <font>
      <b/>
      <sz val="13"/>
      <color indexed="8"/>
      <name val="Verdana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Times New Roman"/>
      <family val="1"/>
    </font>
    <font>
      <sz val="8"/>
      <color rgb="FFFF0000"/>
      <name val="Aptos Narrow"/>
      <family val="2"/>
      <scheme val="minor"/>
    </font>
    <font>
      <sz val="9"/>
      <color rgb="FF008000"/>
      <name val="Aptos Narrow"/>
      <family val="2"/>
      <scheme val="minor"/>
    </font>
    <font>
      <u/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  <font>
      <sz val="11"/>
      <color theme="1"/>
      <name val="Aptos Narrow"/>
      <family val="2"/>
      <scheme val="minor"/>
    </font>
    <font>
      <sz val="11"/>
      <color rgb="FF008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u val="singleAccounting"/>
      <sz val="11"/>
      <color rgb="FF00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vertAlign val="subscript"/>
      <sz val="10"/>
      <name val="Aptos Narrow"/>
      <family val="2"/>
      <scheme val="minor"/>
    </font>
    <font>
      <sz val="11"/>
      <name val="Aptos Narrow"/>
      <family val="2"/>
      <scheme val="minor"/>
    </font>
    <font>
      <b/>
      <vertAlign val="subscript"/>
      <sz val="8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i/>
      <sz val="1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lightGray">
        <fgColor indexed="12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43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6"/>
      </patternFill>
    </fill>
    <fill>
      <patternFill patternType="solid">
        <fgColor indexed="61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theme="0"/>
        <bgColor indexed="64"/>
      </patternFill>
    </fill>
  </fills>
  <borders count="6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auto="1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ck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hair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hair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theme="0" tint="-0.14999847407452621"/>
      </left>
      <right/>
      <top style="thin">
        <color indexed="64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theme="0" tint="-0.1499984740745262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14">
    <xf numFmtId="0" fontId="0" fillId="0" borderId="0"/>
    <xf numFmtId="0" fontId="4" fillId="0" borderId="0"/>
    <xf numFmtId="166" fontId="4" fillId="0" borderId="0">
      <alignment horizontal="right"/>
    </xf>
    <xf numFmtId="167" fontId="4" fillId="2" borderId="0"/>
    <xf numFmtId="168" fontId="4" fillId="2" borderId="0"/>
    <xf numFmtId="169" fontId="4" fillId="2" borderId="0"/>
    <xf numFmtId="170" fontId="4" fillId="2" borderId="0">
      <alignment horizontal="right"/>
    </xf>
    <xf numFmtId="171" fontId="5" fillId="0" borderId="0" applyFont="0" applyFill="0" applyBorder="0" applyAlignment="0" applyProtection="0"/>
    <xf numFmtId="0" fontId="6" fillId="0" borderId="0" applyNumberFormat="0" applyFont="0" applyFill="0" applyBorder="0" applyAlignment="0" applyProtection="0"/>
    <xf numFmtId="172" fontId="7" fillId="0" borderId="0"/>
    <xf numFmtId="0" fontId="8" fillId="3" borderId="0" applyNumberFormat="0" applyBorder="0" applyAlignment="0" applyProtection="0"/>
    <xf numFmtId="0" fontId="8" fillId="4" borderId="0" applyNumberFormat="0" applyBorder="0" applyAlignment="0" applyProtection="0"/>
    <xf numFmtId="0" fontId="8" fillId="5" borderId="0" applyNumberFormat="0" applyBorder="0" applyAlignment="0" applyProtection="0"/>
    <xf numFmtId="0" fontId="8" fillId="6" borderId="0" applyNumberFormat="0" applyBorder="0" applyAlignment="0" applyProtection="0"/>
    <xf numFmtId="0" fontId="8" fillId="7" borderId="0" applyNumberFormat="0" applyBorder="0" applyAlignment="0" applyProtection="0"/>
    <xf numFmtId="0" fontId="8" fillId="8" borderId="0" applyNumberFormat="0" applyBorder="0" applyAlignment="0" applyProtection="0"/>
    <xf numFmtId="0" fontId="8" fillId="9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6" borderId="0" applyNumberFormat="0" applyBorder="0" applyAlignment="0" applyProtection="0"/>
    <xf numFmtId="0" fontId="8" fillId="9" borderId="0" applyNumberFormat="0" applyBorder="0" applyAlignment="0" applyProtection="0"/>
    <xf numFmtId="0" fontId="8" fillId="12" borderId="0" applyNumberFormat="0" applyBorder="0" applyAlignment="0" applyProtection="0"/>
    <xf numFmtId="0" fontId="9" fillId="13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14" borderId="0" applyNumberFormat="0" applyBorder="0" applyAlignment="0" applyProtection="0"/>
    <xf numFmtId="0" fontId="9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18" borderId="0" applyNumberFormat="0" applyBorder="0" applyAlignment="0" applyProtection="0"/>
    <xf numFmtId="0" fontId="9" fillId="19" borderId="0" applyNumberFormat="0" applyBorder="0" applyAlignment="0" applyProtection="0"/>
    <xf numFmtId="0" fontId="9" fillId="14" borderId="0" applyNumberFormat="0" applyBorder="0" applyAlignment="0" applyProtection="0"/>
    <xf numFmtId="0" fontId="9" fillId="15" borderId="0" applyNumberFormat="0" applyBorder="0" applyAlignment="0" applyProtection="0"/>
    <xf numFmtId="0" fontId="9" fillId="20" borderId="0" applyNumberFormat="0" applyBorder="0" applyAlignment="0" applyProtection="0"/>
    <xf numFmtId="0" fontId="7" fillId="0" borderId="0"/>
    <xf numFmtId="0" fontId="10" fillId="4" borderId="0" applyNumberFormat="0" applyBorder="0" applyAlignment="0" applyProtection="0"/>
    <xf numFmtId="173" fontId="11" fillId="0" borderId="0" applyFont="0" applyFill="0" applyBorder="0" applyAlignment="0" applyProtection="0"/>
    <xf numFmtId="38" fontId="11" fillId="0" borderId="0" applyFill="0" applyBorder="0" applyAlignment="0" applyProtection="0">
      <protection locked="0"/>
    </xf>
    <xf numFmtId="0" fontId="12" fillId="0" borderId="0"/>
    <xf numFmtId="37" fontId="13" fillId="0" borderId="0">
      <alignment horizontal="centerContinuous"/>
    </xf>
    <xf numFmtId="0" fontId="14" fillId="21" borderId="2" applyNumberFormat="0" applyAlignment="0" applyProtection="0"/>
    <xf numFmtId="173" fontId="11" fillId="0" borderId="0" applyFont="0" applyFill="0" applyBorder="0" applyAlignment="0" applyProtection="0">
      <protection locked="0"/>
    </xf>
    <xf numFmtId="173" fontId="11" fillId="0" borderId="3" applyFont="0" applyFill="0" applyAlignment="0" applyProtection="0"/>
    <xf numFmtId="0" fontId="15" fillId="22" borderId="4" applyNumberFormat="0" applyAlignment="0" applyProtection="0"/>
    <xf numFmtId="0" fontId="6" fillId="0" borderId="0">
      <alignment horizontal="center" wrapText="1"/>
      <protection hidden="1"/>
    </xf>
    <xf numFmtId="0" fontId="16" fillId="0" borderId="5" applyNumberFormat="0" applyFill="0" applyBorder="0" applyProtection="0">
      <alignment horizontal="left" vertical="center"/>
    </xf>
    <xf numFmtId="0" fontId="16" fillId="0" borderId="5" applyNumberFormat="0" applyFill="0" applyBorder="0" applyProtection="0">
      <alignment horizontal="right" vertical="center"/>
    </xf>
    <xf numFmtId="43" fontId="6" fillId="0" borderId="0" applyFont="0" applyFill="0" applyBorder="0" applyAlignment="0" applyProtection="0"/>
    <xf numFmtId="37" fontId="17" fillId="0" borderId="0" applyFont="0" applyFill="0" applyBorder="0" applyAlignment="0" applyProtection="0"/>
    <xf numFmtId="39" fontId="17" fillId="0" borderId="0" applyFont="0" applyFill="0" applyBorder="0" applyAlignment="0" applyProtection="0"/>
    <xf numFmtId="0" fontId="18" fillId="23" borderId="0">
      <alignment horizontal="center" vertical="center" wrapText="1"/>
    </xf>
    <xf numFmtId="174" fontId="6" fillId="0" borderId="0" applyFill="0" applyBorder="0">
      <alignment horizontal="right"/>
      <protection locked="0"/>
    </xf>
    <xf numFmtId="0" fontId="19" fillId="0" borderId="0" applyFont="0" applyFill="0" applyBorder="0" applyAlignment="0"/>
    <xf numFmtId="7" fontId="20" fillId="0" borderId="0" applyFont="0" applyFill="0" applyBorder="0" applyAlignment="0" applyProtection="0"/>
    <xf numFmtId="5" fontId="17" fillId="0" borderId="0" applyFont="0" applyFill="0" applyBorder="0" applyAlignment="0" applyProtection="0"/>
    <xf numFmtId="175" fontId="7" fillId="0" borderId="0" applyFill="0" applyBorder="0" applyProtection="0">
      <alignment horizontal="right"/>
    </xf>
    <xf numFmtId="176" fontId="4" fillId="2" borderId="6">
      <alignment horizontal="right"/>
    </xf>
    <xf numFmtId="177" fontId="4" fillId="2" borderId="6">
      <alignment horizontal="right"/>
    </xf>
    <xf numFmtId="176" fontId="4" fillId="2" borderId="6">
      <alignment horizontal="right"/>
    </xf>
    <xf numFmtId="15" fontId="21" fillId="0" borderId="0" applyFill="0" applyBorder="0" applyAlignment="0"/>
    <xf numFmtId="178" fontId="19" fillId="24" borderId="0" applyFont="0" applyFill="0" applyBorder="0" applyAlignment="0" applyProtection="0"/>
    <xf numFmtId="179" fontId="21" fillId="0" borderId="5"/>
    <xf numFmtId="14" fontId="22" fillId="0" borderId="0" applyFont="0" applyFill="0" applyBorder="0" applyAlignment="0" applyProtection="0">
      <alignment horizontal="center"/>
    </xf>
    <xf numFmtId="180" fontId="22" fillId="0" borderId="0" applyFont="0" applyFill="0" applyBorder="0" applyAlignment="0" applyProtection="0">
      <alignment horizontal="center"/>
    </xf>
    <xf numFmtId="181" fontId="7" fillId="0" borderId="0" applyFont="0" applyFill="0" applyBorder="0" applyAlignment="0" applyProtection="0"/>
    <xf numFmtId="8" fontId="11" fillId="0" borderId="0" applyFont="0" applyFill="0" applyBorder="0" applyAlignment="0" applyProtection="0"/>
    <xf numFmtId="6" fontId="11" fillId="0" borderId="0" applyFont="0" applyFill="0" applyBorder="0" applyAlignment="0" applyProtection="0">
      <alignment horizontal="right"/>
    </xf>
    <xf numFmtId="6" fontId="11" fillId="0" borderId="0" applyFont="0" applyFill="0" applyBorder="0" applyAlignment="0" applyProtection="0"/>
    <xf numFmtId="39" fontId="4" fillId="25" borderId="0"/>
    <xf numFmtId="7" fontId="4" fillId="25" borderId="0" applyBorder="0"/>
    <xf numFmtId="182" fontId="4" fillId="25" borderId="0"/>
    <xf numFmtId="183" fontId="4" fillId="0" borderId="0"/>
    <xf numFmtId="184" fontId="4" fillId="25" borderId="0"/>
    <xf numFmtId="185" fontId="12" fillId="0" borderId="0" applyFont="0" applyFill="0" applyBorder="0" applyProtection="0">
      <alignment horizontal="left"/>
      <protection locked="0"/>
    </xf>
    <xf numFmtId="186" fontId="4" fillId="0" borderId="0"/>
    <xf numFmtId="187" fontId="12" fillId="0" borderId="0" applyFont="0" applyFill="0" applyBorder="0" applyProtection="0">
      <alignment horizontal="left"/>
      <protection locked="0"/>
    </xf>
    <xf numFmtId="188" fontId="6" fillId="0" borderId="0" applyFont="0" applyFill="0" applyBorder="0" applyAlignment="0" applyProtection="0"/>
    <xf numFmtId="0" fontId="23" fillId="0" borderId="0" applyNumberFormat="0" applyFill="0" applyBorder="0" applyAlignment="0" applyProtection="0"/>
    <xf numFmtId="171" fontId="4" fillId="0" borderId="7"/>
    <xf numFmtId="189" fontId="4" fillId="2" borderId="6">
      <alignment horizontal="right"/>
    </xf>
    <xf numFmtId="190" fontId="4" fillId="2" borderId="6">
      <alignment horizontal="right"/>
    </xf>
    <xf numFmtId="189" fontId="4" fillId="2" borderId="6">
      <alignment horizontal="right"/>
    </xf>
    <xf numFmtId="191" fontId="11" fillId="0" borderId="0" applyFill="0" applyBorder="0" applyAlignment="0" applyProtection="0">
      <protection locked="0"/>
    </xf>
    <xf numFmtId="0" fontId="24" fillId="5" borderId="0" applyNumberFormat="0" applyBorder="0" applyAlignment="0" applyProtection="0"/>
    <xf numFmtId="192" fontId="25" fillId="0" borderId="0" applyFill="0" applyBorder="0" applyAlignment="0" applyProtection="0"/>
    <xf numFmtId="171" fontId="26" fillId="0" borderId="0" applyAlignment="0">
      <alignment horizontal="left"/>
      <protection locked="0"/>
    </xf>
    <xf numFmtId="191" fontId="7" fillId="26" borderId="8" applyNumberFormat="0" applyFont="0" applyAlignment="0" applyProtection="0"/>
    <xf numFmtId="0" fontId="27" fillId="0" borderId="9" applyNumberFormat="0" applyFill="0" applyAlignment="0" applyProtection="0"/>
    <xf numFmtId="0" fontId="28" fillId="0" borderId="10" applyNumberFormat="0" applyFill="0" applyAlignment="0" applyProtection="0"/>
    <xf numFmtId="0" fontId="29" fillId="0" borderId="11" applyNumberFormat="0" applyFill="0" applyAlignment="0" applyProtection="0"/>
    <xf numFmtId="0" fontId="29" fillId="0" borderId="0" applyNumberFormat="0" applyFill="0" applyBorder="0" applyAlignment="0" applyProtection="0"/>
    <xf numFmtId="191" fontId="30" fillId="0" borderId="0" applyNumberFormat="0" applyFill="0" applyBorder="0" applyAlignment="0" applyProtection="0"/>
    <xf numFmtId="0" fontId="31" fillId="0" borderId="0"/>
    <xf numFmtId="173" fontId="11" fillId="0" borderId="0" applyFont="0" applyFill="0" applyBorder="0" applyAlignment="0" applyProtection="0"/>
    <xf numFmtId="38" fontId="11" fillId="0" borderId="0" applyFill="0" applyBorder="0" applyAlignment="0" applyProtection="0">
      <alignment horizontal="right"/>
      <protection locked="0"/>
    </xf>
    <xf numFmtId="0" fontId="32" fillId="8" borderId="2" applyNumberFormat="0" applyAlignment="0" applyProtection="0"/>
    <xf numFmtId="0" fontId="19" fillId="24" borderId="0" applyFont="0" applyBorder="0" applyAlignment="0">
      <protection locked="0"/>
    </xf>
    <xf numFmtId="0" fontId="6" fillId="0" borderId="0" applyFill="0" applyBorder="0">
      <alignment horizontal="right"/>
      <protection locked="0"/>
    </xf>
    <xf numFmtId="17" fontId="33" fillId="27" borderId="0"/>
    <xf numFmtId="193" fontId="6" fillId="0" borderId="0" applyFill="0" applyBorder="0">
      <alignment horizontal="right"/>
      <protection locked="0"/>
    </xf>
    <xf numFmtId="0" fontId="34" fillId="28" borderId="12">
      <alignment horizontal="left" vertical="center" wrapText="1"/>
    </xf>
    <xf numFmtId="0" fontId="35" fillId="0" borderId="13" applyNumberFormat="0" applyFill="0" applyAlignment="0" applyProtection="0"/>
    <xf numFmtId="194" fontId="11" fillId="0" borderId="0" applyFont="0" applyFill="0" applyBorder="0" applyAlignment="0" applyProtection="0">
      <alignment horizontal="right"/>
    </xf>
    <xf numFmtId="195" fontId="4" fillId="0" borderId="0">
      <alignment horizontal="right"/>
    </xf>
    <xf numFmtId="196" fontId="4" fillId="25" borderId="0">
      <alignment horizontal="right"/>
    </xf>
    <xf numFmtId="197" fontId="4" fillId="0" borderId="0">
      <alignment horizontal="right"/>
    </xf>
    <xf numFmtId="195" fontId="4" fillId="0" borderId="0">
      <alignment horizontal="right"/>
    </xf>
    <xf numFmtId="171" fontId="36" fillId="0" borderId="0" applyFill="0" applyBorder="0" applyAlignment="0" applyProtection="0">
      <alignment horizontal="right"/>
    </xf>
    <xf numFmtId="171" fontId="36" fillId="0" borderId="0" applyFill="0" applyBorder="0" applyAlignment="0" applyProtection="0"/>
    <xf numFmtId="198" fontId="4" fillId="2" borderId="6">
      <alignment horizontal="right"/>
    </xf>
    <xf numFmtId="199" fontId="11" fillId="0" borderId="0" applyFont="0" applyFill="0" applyBorder="0" applyAlignment="0" applyProtection="0"/>
    <xf numFmtId="0" fontId="17" fillId="2" borderId="0" applyFont="0" applyBorder="0" applyAlignment="0" applyProtection="0">
      <alignment horizontal="right"/>
      <protection hidden="1"/>
    </xf>
    <xf numFmtId="0" fontId="37" fillId="26" borderId="0" applyNumberFormat="0" applyBorder="0" applyAlignment="0" applyProtection="0"/>
    <xf numFmtId="37" fontId="20" fillId="0" borderId="0" applyFont="0" applyFill="0" applyBorder="0" applyAlignment="0" applyProtection="0"/>
    <xf numFmtId="200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201" fontId="6" fillId="0" borderId="0" applyFont="0" applyFill="0" applyBorder="0" applyAlignment="0" applyProtection="0"/>
    <xf numFmtId="0" fontId="6" fillId="0" borderId="0"/>
    <xf numFmtId="0" fontId="21" fillId="0" borderId="0" applyNumberFormat="0" applyFill="0" applyBorder="0" applyAlignment="0" applyProtection="0"/>
    <xf numFmtId="0" fontId="19" fillId="0" borderId="0" applyFont="0" applyFill="0" applyBorder="0" applyAlignment="0" applyProtection="0"/>
    <xf numFmtId="202" fontId="19" fillId="0" borderId="0" applyFont="0" applyFill="0" applyBorder="0" applyAlignment="0" applyProtection="0"/>
    <xf numFmtId="0" fontId="8" fillId="29" borderId="14" applyNumberFormat="0" applyFont="0" applyAlignment="0" applyProtection="0"/>
    <xf numFmtId="0" fontId="17" fillId="0" borderId="0" applyFont="0" applyFill="0" applyBorder="0" applyAlignment="0" applyProtection="0"/>
    <xf numFmtId="203" fontId="6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38" fillId="21" borderId="15" applyNumberFormat="0" applyAlignment="0" applyProtection="0"/>
    <xf numFmtId="204" fontId="11" fillId="0" borderId="0" applyFont="0" applyFill="0" applyBorder="0" applyAlignment="0" applyProtection="0">
      <alignment horizontal="right"/>
    </xf>
    <xf numFmtId="0" fontId="39" fillId="0" borderId="0" applyNumberFormat="0" applyFill="0" applyBorder="0" applyAlignment="0" applyProtection="0"/>
    <xf numFmtId="0" fontId="19" fillId="0" borderId="0"/>
    <xf numFmtId="205" fontId="4" fillId="25" borderId="0"/>
    <xf numFmtId="9" fontId="11" fillId="0" borderId="0" applyFont="0" applyFill="0" applyBorder="0" applyAlignment="0" applyProtection="0">
      <alignment horizontal="right"/>
    </xf>
    <xf numFmtId="206" fontId="4" fillId="0" borderId="0"/>
    <xf numFmtId="0" fontId="6" fillId="0" borderId="0" applyFont="0" applyFill="0" applyBorder="0" applyAlignment="0"/>
    <xf numFmtId="167" fontId="6" fillId="0" borderId="0" applyFont="0" applyFill="0" applyBorder="0" applyAlignment="0" applyProtection="0"/>
    <xf numFmtId="207" fontId="6" fillId="0" borderId="0" applyFont="0" applyFill="0" applyBorder="0" applyAlignment="0" applyProtection="0"/>
    <xf numFmtId="208" fontId="6" fillId="0" borderId="0" applyFill="0" applyBorder="0">
      <alignment horizontal="right"/>
      <protection locked="0"/>
    </xf>
    <xf numFmtId="192" fontId="11" fillId="0" borderId="0" applyFont="0" applyFill="0" applyBorder="0" applyAlignment="0" applyProtection="0"/>
    <xf numFmtId="8" fontId="11" fillId="0" borderId="0" applyFont="0" applyFill="0" applyBorder="0" applyAlignment="0" applyProtection="0"/>
    <xf numFmtId="173" fontId="11" fillId="0" borderId="0" applyFont="0" applyFill="0" applyBorder="0" applyAlignment="0" applyProtection="0">
      <protection locked="0"/>
    </xf>
    <xf numFmtId="191" fontId="11" fillId="0" borderId="0" applyFill="0" applyBorder="0" applyAlignment="0" applyProtection="0"/>
    <xf numFmtId="38" fontId="11" fillId="0" borderId="0" applyFont="0" applyFill="0" applyBorder="0" applyAlignment="0" applyProtection="0"/>
    <xf numFmtId="169" fontId="4" fillId="2" borderId="16">
      <alignment horizontal="right"/>
    </xf>
    <xf numFmtId="209" fontId="40" fillId="2" borderId="0"/>
    <xf numFmtId="210" fontId="4" fillId="2" borderId="0"/>
    <xf numFmtId="0" fontId="41" fillId="0" borderId="0">
      <alignment horizontal="center"/>
    </xf>
    <xf numFmtId="0" fontId="4" fillId="0" borderId="5">
      <alignment horizontal="centerContinuous"/>
    </xf>
    <xf numFmtId="211" fontId="4" fillId="2" borderId="0">
      <alignment horizontal="right"/>
    </xf>
    <xf numFmtId="212" fontId="4" fillId="2" borderId="6">
      <alignment horizontal="right"/>
    </xf>
    <xf numFmtId="213" fontId="6" fillId="0" borderId="0">
      <alignment horizontal="right"/>
      <protection locked="0"/>
    </xf>
    <xf numFmtId="191" fontId="22" fillId="0" borderId="0" applyFont="0" applyFill="0" applyBorder="0" applyAlignment="0" applyProtection="0"/>
    <xf numFmtId="0" fontId="42" fillId="0" borderId="0" applyNumberFormat="0" applyFill="0" applyBorder="0" applyProtection="0">
      <alignment horizontal="right" vertical="center"/>
    </xf>
    <xf numFmtId="0" fontId="43" fillId="23" borderId="8">
      <alignment horizontal="center" vertical="center" wrapText="1"/>
      <protection hidden="1"/>
    </xf>
    <xf numFmtId="173" fontId="11" fillId="0" borderId="0" applyFill="0" applyBorder="0" applyAlignment="0" applyProtection="0">
      <protection locked="0"/>
    </xf>
    <xf numFmtId="214" fontId="22" fillId="0" borderId="0" applyFont="0" applyFill="0" applyBorder="0" applyAlignment="0" applyProtection="0">
      <alignment horizontal="right"/>
    </xf>
    <xf numFmtId="38" fontId="6" fillId="0" borderId="0" applyFont="0" applyFill="0" applyBorder="0" applyAlignment="0" applyProtection="0"/>
    <xf numFmtId="0" fontId="44" fillId="0" borderId="17" applyNumberFormat="0" applyFill="0" applyProtection="0">
      <alignment horizontal="left" vertical="top" wrapText="1"/>
    </xf>
    <xf numFmtId="0" fontId="31" fillId="0" borderId="0" applyNumberFormat="0" applyFill="0" applyBorder="0" applyProtection="0">
      <alignment horizontal="left" vertical="top" wrapText="1"/>
    </xf>
    <xf numFmtId="0" fontId="45" fillId="0" borderId="0" applyNumberFormat="0" applyFill="0" applyProtection="0">
      <alignment horizontal="left" vertical="top" wrapText="1"/>
    </xf>
    <xf numFmtId="0" fontId="46" fillId="0" borderId="0" applyNumberFormat="0" applyFill="0" applyBorder="0" applyProtection="0"/>
    <xf numFmtId="0" fontId="47" fillId="30" borderId="0" applyNumberFormat="0" applyBorder="0" applyProtection="0"/>
    <xf numFmtId="0" fontId="48" fillId="0" borderId="0" applyNumberFormat="0" applyFill="0" applyBorder="0" applyProtection="0">
      <alignment vertical="top"/>
    </xf>
    <xf numFmtId="215" fontId="49" fillId="0" borderId="0" applyFill="0" applyBorder="0" applyProtection="0">
      <alignment horizontal="right" wrapText="1"/>
    </xf>
    <xf numFmtId="216" fontId="49" fillId="0" borderId="0" applyFill="0" applyBorder="0" applyProtection="0">
      <alignment horizontal="right"/>
    </xf>
    <xf numFmtId="4" fontId="19" fillId="0" borderId="0" applyFill="0" applyBorder="0" applyProtection="0">
      <alignment horizontal="right"/>
    </xf>
    <xf numFmtId="184" fontId="50" fillId="0" borderId="0" applyFill="0" applyBorder="0" applyAlignment="0" applyProtection="0"/>
    <xf numFmtId="217" fontId="51" fillId="0" borderId="0" applyFill="0" applyBorder="0" applyAlignment="0" applyProtection="0">
      <alignment horizontal="left"/>
      <protection locked="0"/>
    </xf>
    <xf numFmtId="217" fontId="51" fillId="0" borderId="0" applyFill="0" applyBorder="0" applyAlignment="0" applyProtection="0"/>
    <xf numFmtId="217" fontId="52" fillId="0" borderId="0" applyFill="0" applyBorder="0" applyAlignment="0" applyProtection="0">
      <alignment horizontal="left"/>
      <protection locked="0"/>
    </xf>
    <xf numFmtId="217" fontId="52" fillId="0" borderId="0" applyFill="0" applyBorder="0" applyAlignment="0" applyProtection="0">
      <protection locked="0"/>
    </xf>
    <xf numFmtId="191" fontId="11" fillId="0" borderId="0" applyFill="0" applyBorder="0" applyAlignment="0" applyProtection="0">
      <protection locked="0"/>
    </xf>
    <xf numFmtId="191" fontId="50" fillId="0" borderId="0" applyFill="0" applyBorder="0" applyAlignment="0" applyProtection="0"/>
    <xf numFmtId="49" fontId="53" fillId="0" borderId="0"/>
    <xf numFmtId="218" fontId="6" fillId="0" borderId="0" applyFont="0" applyFill="0" applyBorder="0" applyAlignment="0" applyProtection="0"/>
    <xf numFmtId="219" fontId="6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55" fillId="1" borderId="0" applyNumberFormat="0" applyBorder="0" applyProtection="0">
      <alignment horizontal="left" vertical="center"/>
    </xf>
    <xf numFmtId="191" fontId="56" fillId="0" borderId="0" applyNumberFormat="0" applyFill="0" applyBorder="0" applyAlignment="0" applyProtection="0"/>
    <xf numFmtId="0" fontId="6" fillId="0" borderId="0" applyBorder="0"/>
    <xf numFmtId="38" fontId="57" fillId="0" borderId="0" applyFill="0" applyBorder="0" applyAlignment="0" applyProtection="0">
      <alignment horizontal="left"/>
    </xf>
    <xf numFmtId="0" fontId="58" fillId="0" borderId="0"/>
    <xf numFmtId="0" fontId="59" fillId="0" borderId="18" applyNumberFormat="0" applyFill="0" applyAlignment="0" applyProtection="0"/>
    <xf numFmtId="0" fontId="60" fillId="0" borderId="0" applyNumberFormat="0" applyFill="0" applyBorder="0" applyAlignment="0" applyProtection="0"/>
    <xf numFmtId="1" fontId="11" fillId="0" borderId="0" applyFont="0" applyFill="0" applyBorder="0" applyAlignment="0" applyProtection="0"/>
    <xf numFmtId="220" fontId="20" fillId="0" borderId="0" applyFont="0" applyFill="0" applyBorder="0" applyAlignment="0" applyProtection="0"/>
    <xf numFmtId="227" fontId="21" fillId="0" borderId="0" applyFill="0" applyBorder="0" applyAlignment="0" applyProtection="0">
      <alignment horizontal="right"/>
    </xf>
    <xf numFmtId="0" fontId="68" fillId="0" borderId="0" applyAlignment="0"/>
    <xf numFmtId="0" fontId="69" fillId="0" borderId="0" applyAlignment="0"/>
    <xf numFmtId="0" fontId="47" fillId="31" borderId="0" applyAlignment="0"/>
    <xf numFmtId="228" fontId="19" fillId="0" borderId="21" applyFont="0" applyFill="0" applyBorder="0" applyAlignment="0" applyProtection="0"/>
    <xf numFmtId="229" fontId="21" fillId="0" borderId="0" applyFont="0" applyFill="0" applyBorder="0" applyAlignment="0" applyProtection="0"/>
    <xf numFmtId="230" fontId="19" fillId="0" borderId="0" applyFont="0" applyFill="0" applyBorder="0" applyAlignment="0" applyProtection="0"/>
    <xf numFmtId="178" fontId="70" fillId="24" borderId="22" applyFont="0" applyFill="0" applyBorder="0" applyAlignment="0" applyProtection="0"/>
    <xf numFmtId="0" fontId="71" fillId="0" borderId="0" applyAlignment="0"/>
    <xf numFmtId="14" fontId="21" fillId="0" borderId="5" applyFont="0" applyFill="0" applyBorder="0" applyAlignment="0" applyProtection="0"/>
    <xf numFmtId="0" fontId="72" fillId="32" borderId="23"/>
    <xf numFmtId="0" fontId="73" fillId="33" borderId="0" applyAlignment="0"/>
    <xf numFmtId="0" fontId="74" fillId="34" borderId="0" applyAlignment="0"/>
    <xf numFmtId="0" fontId="75" fillId="0" borderId="0" applyAlignment="0"/>
    <xf numFmtId="231" fontId="19" fillId="0" borderId="0" applyFont="0" applyFill="0" applyBorder="0" applyAlignment="0" applyProtection="0">
      <alignment horizontal="right"/>
    </xf>
    <xf numFmtId="191" fontId="76" fillId="0" borderId="0" applyNumberFormat="0" applyFill="0" applyBorder="0" applyAlignment="0" applyProtection="0">
      <alignment horizontal="left"/>
    </xf>
    <xf numFmtId="0" fontId="77" fillId="35" borderId="0" applyAlignment="0"/>
    <xf numFmtId="0" fontId="78" fillId="0" borderId="0" applyAlignment="0"/>
    <xf numFmtId="0" fontId="79" fillId="0" borderId="0" applyAlignment="0"/>
    <xf numFmtId="0" fontId="80" fillId="0" borderId="0" applyAlignment="0"/>
    <xf numFmtId="0" fontId="81" fillId="0" borderId="0" applyAlignment="0"/>
    <xf numFmtId="0" fontId="48" fillId="0" borderId="0" applyAlignment="0"/>
    <xf numFmtId="232" fontId="19" fillId="0" borderId="0" applyFont="0" applyFill="0" applyBorder="0" applyAlignment="0" applyProtection="0">
      <alignment horizontal="right"/>
    </xf>
    <xf numFmtId="0" fontId="82" fillId="0" borderId="0" applyAlignment="0"/>
    <xf numFmtId="233" fontId="19" fillId="0" borderId="0" applyFont="0" applyFill="0" applyBorder="0" applyAlignment="0"/>
    <xf numFmtId="9" fontId="89" fillId="0" borderId="0" applyFont="0" applyFill="0" applyBorder="0" applyAlignment="0" applyProtection="0"/>
    <xf numFmtId="44" fontId="89" fillId="0" borderId="0" applyFont="0" applyFill="0" applyBorder="0" applyAlignment="0" applyProtection="0"/>
    <xf numFmtId="43" fontId="89" fillId="0" borderId="0" applyFont="0" applyFill="0" applyBorder="0" applyAlignment="0" applyProtection="0"/>
    <xf numFmtId="37" fontId="12" fillId="0" borderId="0"/>
    <xf numFmtId="0" fontId="91" fillId="0" borderId="0" applyNumberFormat="0" applyFill="0" applyBorder="0" applyAlignment="0" applyProtection="0"/>
  </cellStyleXfs>
  <cellXfs count="277">
    <xf numFmtId="0" fontId="0" fillId="0" borderId="0" xfId="0"/>
    <xf numFmtId="0" fontId="0" fillId="36" borderId="0" xfId="0" applyFill="1"/>
    <xf numFmtId="0" fontId="1" fillId="36" borderId="19" xfId="0" applyFont="1" applyFill="1" applyBorder="1"/>
    <xf numFmtId="0" fontId="0" fillId="36" borderId="19" xfId="0" applyFill="1" applyBorder="1"/>
    <xf numFmtId="14" fontId="63" fillId="36" borderId="0" xfId="0" applyNumberFormat="1" applyFont="1" applyFill="1" applyAlignment="1">
      <alignment horizontal="left"/>
    </xf>
    <xf numFmtId="0" fontId="0" fillId="36" borderId="24" xfId="0" applyFill="1" applyBorder="1"/>
    <xf numFmtId="0" fontId="3" fillId="36" borderId="0" xfId="0" applyFont="1" applyFill="1"/>
    <xf numFmtId="0" fontId="2" fillId="36" borderId="0" xfId="0" applyFont="1" applyFill="1" applyAlignment="1">
      <alignment horizontal="center"/>
    </xf>
    <xf numFmtId="235" fontId="2" fillId="36" borderId="25" xfId="0" applyNumberFormat="1" applyFont="1" applyFill="1" applyBorder="1" applyAlignment="1">
      <alignment horizontal="center"/>
    </xf>
    <xf numFmtId="14" fontId="2" fillId="36" borderId="0" xfId="0" applyNumberFormat="1" applyFont="1" applyFill="1" applyAlignment="1">
      <alignment horizontal="center"/>
    </xf>
    <xf numFmtId="8" fontId="2" fillId="36" borderId="0" xfId="0" applyNumberFormat="1" applyFont="1" applyFill="1" applyAlignment="1">
      <alignment horizontal="center"/>
    </xf>
    <xf numFmtId="223" fontId="2" fillId="36" borderId="0" xfId="0" applyNumberFormat="1" applyFont="1" applyFill="1" applyAlignment="1">
      <alignment horizontal="center"/>
    </xf>
    <xf numFmtId="9" fontId="0" fillId="36" borderId="0" xfId="0" applyNumberFormat="1" applyFill="1"/>
    <xf numFmtId="201" fontId="2" fillId="36" borderId="0" xfId="0" applyNumberFormat="1" applyFont="1" applyFill="1" applyAlignment="1">
      <alignment horizontal="center"/>
    </xf>
    <xf numFmtId="0" fontId="1" fillId="36" borderId="1" xfId="0" applyFont="1" applyFill="1" applyBorder="1"/>
    <xf numFmtId="0" fontId="0" fillId="36" borderId="1" xfId="0" applyFill="1" applyBorder="1"/>
    <xf numFmtId="221" fontId="1" fillId="36" borderId="0" xfId="0" applyNumberFormat="1" applyFont="1" applyFill="1"/>
    <xf numFmtId="222" fontId="1" fillId="36" borderId="0" xfId="0" applyNumberFormat="1" applyFont="1" applyFill="1"/>
    <xf numFmtId="0" fontId="65" fillId="36" borderId="1" xfId="0" applyFont="1" applyFill="1" applyBorder="1"/>
    <xf numFmtId="223" fontId="65" fillId="36" borderId="5" xfId="0" applyNumberFormat="1" applyFont="1" applyFill="1" applyBorder="1"/>
    <xf numFmtId="0" fontId="65" fillId="36" borderId="0" xfId="0" applyFont="1" applyFill="1"/>
    <xf numFmtId="223" fontId="66" fillId="36" borderId="0" xfId="0" applyNumberFormat="1" applyFont="1" applyFill="1"/>
    <xf numFmtId="223" fontId="65" fillId="36" borderId="0" xfId="0" applyNumberFormat="1" applyFont="1" applyFill="1"/>
    <xf numFmtId="9" fontId="65" fillId="36" borderId="0" xfId="0" applyNumberFormat="1" applyFont="1" applyFill="1"/>
    <xf numFmtId="194" fontId="65" fillId="36" borderId="0" xfId="0" applyNumberFormat="1" applyFont="1" applyFill="1"/>
    <xf numFmtId="37" fontId="2" fillId="36" borderId="0" xfId="0" applyNumberFormat="1" applyFont="1" applyFill="1"/>
    <xf numFmtId="37" fontId="3" fillId="36" borderId="0" xfId="0" applyNumberFormat="1" applyFont="1" applyFill="1"/>
    <xf numFmtId="0" fontId="1" fillId="36" borderId="0" xfId="0" applyFont="1" applyFill="1"/>
    <xf numFmtId="37" fontId="61" fillId="36" borderId="0" xfId="0" applyNumberFormat="1" applyFont="1" applyFill="1"/>
    <xf numFmtId="0" fontId="0" fillId="36" borderId="0" xfId="0" applyFill="1" applyAlignment="1">
      <alignment horizontal="left" indent="1"/>
    </xf>
    <xf numFmtId="37" fontId="0" fillId="36" borderId="0" xfId="0" applyNumberFormat="1" applyFill="1"/>
    <xf numFmtId="0" fontId="0" fillId="36" borderId="0" xfId="0" applyFill="1" applyAlignment="1">
      <alignment horizontal="left"/>
    </xf>
    <xf numFmtId="0" fontId="1" fillId="36" borderId="0" xfId="0" applyFont="1" applyFill="1" applyAlignment="1">
      <alignment horizontal="left"/>
    </xf>
    <xf numFmtId="0" fontId="67" fillId="36" borderId="0" xfId="0" applyFont="1" applyFill="1"/>
    <xf numFmtId="164" fontId="3" fillId="36" borderId="0" xfId="0" applyNumberFormat="1" applyFont="1" applyFill="1"/>
    <xf numFmtId="194" fontId="2" fillId="36" borderId="0" xfId="0" applyNumberFormat="1" applyFont="1" applyFill="1"/>
    <xf numFmtId="164" fontId="2" fillId="36" borderId="0" xfId="0" applyNumberFormat="1" applyFont="1" applyFill="1"/>
    <xf numFmtId="37" fontId="2" fillId="36" borderId="0" xfId="0" applyNumberFormat="1" applyFont="1" applyFill="1" applyAlignment="1">
      <alignment horizontal="right"/>
    </xf>
    <xf numFmtId="4" fontId="0" fillId="36" borderId="0" xfId="0" applyNumberFormat="1" applyFill="1"/>
    <xf numFmtId="223" fontId="65" fillId="36" borderId="1" xfId="0" applyNumberFormat="1" applyFont="1" applyFill="1" applyBorder="1"/>
    <xf numFmtId="14" fontId="65" fillId="36" borderId="0" xfId="0" applyNumberFormat="1" applyFont="1" applyFill="1"/>
    <xf numFmtId="221" fontId="61" fillId="36" borderId="0" xfId="0" applyNumberFormat="1" applyFont="1" applyFill="1"/>
    <xf numFmtId="222" fontId="61" fillId="36" borderId="0" xfId="0" applyNumberFormat="1" applyFont="1" applyFill="1"/>
    <xf numFmtId="223" fontId="63" fillId="36" borderId="1" xfId="0" applyNumberFormat="1" applyFont="1" applyFill="1" applyBorder="1"/>
    <xf numFmtId="37" fontId="1" fillId="36" borderId="0" xfId="0" applyNumberFormat="1" applyFont="1" applyFill="1"/>
    <xf numFmtId="37" fontId="1" fillId="36" borderId="0" xfId="0" quotePrefix="1" applyNumberFormat="1" applyFont="1" applyFill="1"/>
    <xf numFmtId="37" fontId="65" fillId="36" borderId="0" xfId="0" applyNumberFormat="1" applyFont="1" applyFill="1"/>
    <xf numFmtId="3" fontId="0" fillId="36" borderId="0" xfId="0" applyNumberFormat="1" applyFill="1"/>
    <xf numFmtId="0" fontId="1" fillId="36" borderId="32" xfId="0" applyFont="1" applyFill="1" applyBorder="1" applyAlignment="1">
      <alignment horizontal="centerContinuous"/>
    </xf>
    <xf numFmtId="0" fontId="0" fillId="36" borderId="0" xfId="0" quotePrefix="1" applyFill="1" applyAlignment="1">
      <alignment horizontal="left" indent="1"/>
    </xf>
    <xf numFmtId="0" fontId="0" fillId="36" borderId="29" xfId="0" quotePrefix="1" applyFill="1" applyBorder="1" applyAlignment="1">
      <alignment horizontal="left" indent="1"/>
    </xf>
    <xf numFmtId="37" fontId="2" fillId="36" borderId="29" xfId="0" applyNumberFormat="1" applyFont="1" applyFill="1" applyBorder="1"/>
    <xf numFmtId="37" fontId="0" fillId="36" borderId="29" xfId="0" applyNumberFormat="1" applyFill="1" applyBorder="1"/>
    <xf numFmtId="0" fontId="1" fillId="36" borderId="0" xfId="0" applyFont="1" applyFill="1" applyAlignment="1">
      <alignment horizontal="left" indent="1"/>
    </xf>
    <xf numFmtId="164" fontId="0" fillId="36" borderId="0" xfId="0" applyNumberFormat="1" applyFill="1"/>
    <xf numFmtId="234" fontId="2" fillId="36" borderId="0" xfId="0" applyNumberFormat="1" applyFont="1" applyFill="1"/>
    <xf numFmtId="235" fontId="0" fillId="36" borderId="0" xfId="0" applyNumberFormat="1" applyFill="1"/>
    <xf numFmtId="0" fontId="1" fillId="36" borderId="1" xfId="0" applyFont="1" applyFill="1" applyBorder="1" applyAlignment="1">
      <alignment horizontal="left"/>
    </xf>
    <xf numFmtId="164" fontId="0" fillId="36" borderId="1" xfId="0" applyNumberFormat="1" applyFill="1" applyBorder="1"/>
    <xf numFmtId="164" fontId="3" fillId="36" borderId="1" xfId="0" applyNumberFormat="1" applyFont="1" applyFill="1" applyBorder="1"/>
    <xf numFmtId="234" fontId="0" fillId="36" borderId="0" xfId="0" applyNumberFormat="1" applyFill="1"/>
    <xf numFmtId="238" fontId="2" fillId="36" borderId="0" xfId="0" applyNumberFormat="1" applyFont="1" applyFill="1"/>
    <xf numFmtId="37" fontId="1" fillId="36" borderId="1" xfId="0" applyNumberFormat="1" applyFont="1" applyFill="1" applyBorder="1"/>
    <xf numFmtId="37" fontId="3" fillId="36" borderId="32" xfId="0" applyNumberFormat="1" applyFont="1" applyFill="1" applyBorder="1"/>
    <xf numFmtId="0" fontId="0" fillId="36" borderId="29" xfId="0" applyFill="1" applyBorder="1" applyAlignment="1">
      <alignment horizontal="left" indent="1"/>
    </xf>
    <xf numFmtId="0" fontId="0" fillId="36" borderId="29" xfId="0" applyFill="1" applyBorder="1"/>
    <xf numFmtId="37" fontId="3" fillId="36" borderId="29" xfId="0" applyNumberFormat="1" applyFont="1" applyFill="1" applyBorder="1"/>
    <xf numFmtId="37" fontId="1" fillId="36" borderId="1" xfId="0" applyNumberFormat="1" applyFont="1" applyFill="1" applyBorder="1" applyAlignment="1">
      <alignment horizontal="left"/>
    </xf>
    <xf numFmtId="37" fontId="1" fillId="36" borderId="29" xfId="0" applyNumberFormat="1" applyFont="1" applyFill="1" applyBorder="1"/>
    <xf numFmtId="0" fontId="86" fillId="36" borderId="35" xfId="0" applyFont="1" applyFill="1" applyBorder="1" applyAlignment="1">
      <alignment horizontal="left" indent="2"/>
    </xf>
    <xf numFmtId="37" fontId="0" fillId="36" borderId="36" xfId="0" applyNumberFormat="1" applyFill="1" applyBorder="1"/>
    <xf numFmtId="0" fontId="0" fillId="36" borderId="36" xfId="0" applyFill="1" applyBorder="1"/>
    <xf numFmtId="37" fontId="85" fillId="36" borderId="36" xfId="0" applyNumberFormat="1" applyFont="1" applyFill="1" applyBorder="1" applyAlignment="1">
      <alignment horizontal="right"/>
    </xf>
    <xf numFmtId="37" fontId="85" fillId="36" borderId="37" xfId="0" applyNumberFormat="1" applyFont="1" applyFill="1" applyBorder="1" applyAlignment="1">
      <alignment horizontal="right"/>
    </xf>
    <xf numFmtId="0" fontId="86" fillId="36" borderId="0" xfId="0" applyFont="1" applyFill="1" applyAlignment="1">
      <alignment horizontal="center"/>
    </xf>
    <xf numFmtId="37" fontId="85" fillId="36" borderId="0" xfId="0" applyNumberFormat="1" applyFont="1" applyFill="1" applyAlignment="1">
      <alignment horizontal="right"/>
    </xf>
    <xf numFmtId="9" fontId="2" fillId="36" borderId="1" xfId="0" applyNumberFormat="1" applyFont="1" applyFill="1" applyBorder="1"/>
    <xf numFmtId="3" fontId="84" fillId="36" borderId="0" xfId="0" applyNumberFormat="1" applyFont="1" applyFill="1"/>
    <xf numFmtId="37" fontId="0" fillId="36" borderId="32" xfId="0" applyNumberFormat="1" applyFill="1" applyBorder="1"/>
    <xf numFmtId="0" fontId="67" fillId="36" borderId="0" xfId="0" applyFont="1" applyFill="1" applyAlignment="1">
      <alignment horizontal="left" indent="1"/>
    </xf>
    <xf numFmtId="0" fontId="83" fillId="36" borderId="0" xfId="0" applyFont="1" applyFill="1" applyAlignment="1">
      <alignment horizontal="left"/>
    </xf>
    <xf numFmtId="225" fontId="2" fillId="36" borderId="0" xfId="0" applyNumberFormat="1" applyFont="1" applyFill="1"/>
    <xf numFmtId="0" fontId="61" fillId="36" borderId="33" xfId="0" applyFont="1" applyFill="1" applyBorder="1" applyAlignment="1">
      <alignment horizontal="left" indent="1"/>
    </xf>
    <xf numFmtId="0" fontId="0" fillId="36" borderId="0" xfId="0" applyFill="1" applyAlignment="1">
      <alignment horizontal="left" indent="2"/>
    </xf>
    <xf numFmtId="10" fontId="2" fillId="36" borderId="0" xfId="0" applyNumberFormat="1" applyFont="1" applyFill="1"/>
    <xf numFmtId="7" fontId="61" fillId="36" borderId="0" xfId="0" applyNumberFormat="1" applyFont="1" applyFill="1"/>
    <xf numFmtId="8" fontId="0" fillId="36" borderId="0" xfId="0" applyNumberFormat="1" applyFill="1"/>
    <xf numFmtId="7" fontId="0" fillId="36" borderId="0" xfId="0" applyNumberFormat="1" applyFill="1"/>
    <xf numFmtId="9" fontId="2" fillId="36" borderId="0" xfId="0" applyNumberFormat="1" applyFont="1" applyFill="1"/>
    <xf numFmtId="37" fontId="3" fillId="36" borderId="0" xfId="0" applyNumberFormat="1" applyFont="1" applyFill="1" applyAlignment="1">
      <alignment horizontal="left" indent="1"/>
    </xf>
    <xf numFmtId="222" fontId="1" fillId="36" borderId="20" xfId="0" applyNumberFormat="1" applyFont="1" applyFill="1" applyBorder="1"/>
    <xf numFmtId="0" fontId="0" fillId="36" borderId="20" xfId="0" applyFill="1" applyBorder="1"/>
    <xf numFmtId="0" fontId="1" fillId="36" borderId="0" xfId="0" applyFont="1" applyFill="1" applyAlignment="1">
      <alignment horizontal="centerContinuous"/>
    </xf>
    <xf numFmtId="0" fontId="0" fillId="36" borderId="0" xfId="0" applyFill="1" applyAlignment="1">
      <alignment horizontal="centerContinuous"/>
    </xf>
    <xf numFmtId="5" fontId="3" fillId="36" borderId="26" xfId="0" applyNumberFormat="1" applyFont="1" applyFill="1" applyBorder="1"/>
    <xf numFmtId="236" fontId="2" fillId="36" borderId="27" xfId="0" applyNumberFormat="1" applyFont="1" applyFill="1" applyBorder="1"/>
    <xf numFmtId="0" fontId="0" fillId="36" borderId="0" xfId="0" applyFill="1" applyAlignment="1">
      <alignment horizontal="right"/>
    </xf>
    <xf numFmtId="237" fontId="2" fillId="36" borderId="28" xfId="0" applyNumberFormat="1" applyFont="1" applyFill="1" applyBorder="1"/>
    <xf numFmtId="224" fontId="0" fillId="36" borderId="0" xfId="0" applyNumberFormat="1" applyFill="1"/>
    <xf numFmtId="0" fontId="1" fillId="36" borderId="0" xfId="0" applyFont="1" applyFill="1" applyAlignment="1">
      <alignment horizontal="right"/>
    </xf>
    <xf numFmtId="237" fontId="2" fillId="36" borderId="0" xfId="0" applyNumberFormat="1" applyFont="1" applyFill="1"/>
    <xf numFmtId="224" fontId="1" fillId="36" borderId="0" xfId="0" applyNumberFormat="1" applyFont="1" applyFill="1" applyAlignment="1">
      <alignment horizontal="centerContinuous"/>
    </xf>
    <xf numFmtId="224" fontId="0" fillId="36" borderId="0" xfId="0" applyNumberFormat="1" applyFill="1" applyAlignment="1">
      <alignment horizontal="centerContinuous"/>
    </xf>
    <xf numFmtId="7" fontId="3" fillId="36" borderId="26" xfId="210" applyNumberFormat="1" applyFont="1" applyFill="1" applyBorder="1"/>
    <xf numFmtId="201" fontId="1" fillId="36" borderId="40" xfId="0" applyNumberFormat="1" applyFont="1" applyFill="1" applyBorder="1"/>
    <xf numFmtId="201" fontId="1" fillId="36" borderId="0" xfId="0" applyNumberFormat="1" applyFont="1" applyFill="1"/>
    <xf numFmtId="164" fontId="0" fillId="36" borderId="38" xfId="0" applyNumberFormat="1" applyFill="1" applyBorder="1" applyAlignment="1">
      <alignment horizontal="center"/>
    </xf>
    <xf numFmtId="234" fontId="63" fillId="36" borderId="0" xfId="0" applyNumberFormat="1" applyFont="1" applyFill="1"/>
    <xf numFmtId="0" fontId="0" fillId="36" borderId="38" xfId="0" applyFill="1" applyBorder="1"/>
    <xf numFmtId="9" fontId="0" fillId="36" borderId="38" xfId="0" applyNumberFormat="1" applyFill="1" applyBorder="1"/>
    <xf numFmtId="10" fontId="2" fillId="36" borderId="38" xfId="209" applyNumberFormat="1" applyFont="1" applyFill="1" applyBorder="1" applyAlignment="1">
      <alignment horizontal="center"/>
    </xf>
    <xf numFmtId="0" fontId="0" fillId="36" borderId="38" xfId="0" applyFill="1" applyBorder="1" applyAlignment="1">
      <alignment horizontal="center"/>
    </xf>
    <xf numFmtId="224" fontId="90" fillId="36" borderId="0" xfId="0" applyNumberFormat="1" applyFont="1" applyFill="1"/>
    <xf numFmtId="234" fontId="2" fillId="36" borderId="38" xfId="0" applyNumberFormat="1" applyFont="1" applyFill="1" applyBorder="1" applyAlignment="1">
      <alignment horizontal="center"/>
    </xf>
    <xf numFmtId="226" fontId="0" fillId="36" borderId="0" xfId="0" applyNumberFormat="1" applyFill="1"/>
    <xf numFmtId="234" fontId="2" fillId="36" borderId="39" xfId="0" applyNumberFormat="1" applyFont="1" applyFill="1" applyBorder="1" applyAlignment="1">
      <alignment horizontal="center"/>
    </xf>
    <xf numFmtId="222" fontId="61" fillId="36" borderId="47" xfId="0" applyNumberFormat="1" applyFont="1" applyFill="1" applyBorder="1" applyAlignment="1">
      <alignment horizontal="center"/>
    </xf>
    <xf numFmtId="222" fontId="61" fillId="36" borderId="48" xfId="0" applyNumberFormat="1" applyFont="1" applyFill="1" applyBorder="1" applyAlignment="1">
      <alignment horizontal="center"/>
    </xf>
    <xf numFmtId="0" fontId="0" fillId="36" borderId="49" xfId="0" applyFill="1" applyBorder="1"/>
    <xf numFmtId="37" fontId="0" fillId="36" borderId="49" xfId="0" applyNumberFormat="1" applyFill="1" applyBorder="1"/>
    <xf numFmtId="234" fontId="0" fillId="36" borderId="49" xfId="0" applyNumberFormat="1" applyFill="1" applyBorder="1"/>
    <xf numFmtId="0" fontId="67" fillId="36" borderId="0" xfId="0" applyFont="1" applyFill="1" applyAlignment="1">
      <alignment horizontal="center"/>
    </xf>
    <xf numFmtId="0" fontId="64" fillId="36" borderId="1" xfId="0" applyFont="1" applyFill="1" applyBorder="1"/>
    <xf numFmtId="240" fontId="61" fillId="36" borderId="0" xfId="0" applyNumberFormat="1" applyFont="1" applyFill="1"/>
    <xf numFmtId="223" fontId="63" fillId="36" borderId="0" xfId="0" applyNumberFormat="1" applyFont="1" applyFill="1"/>
    <xf numFmtId="0" fontId="61" fillId="36" borderId="41" xfId="0" applyFont="1" applyFill="1" applyBorder="1"/>
    <xf numFmtId="0" fontId="3" fillId="36" borderId="41" xfId="0" applyFont="1" applyFill="1" applyBorder="1"/>
    <xf numFmtId="0" fontId="87" fillId="36" borderId="0" xfId="0" applyFont="1" applyFill="1"/>
    <xf numFmtId="221" fontId="61" fillId="36" borderId="42" xfId="0" applyNumberFormat="1" applyFont="1" applyFill="1" applyBorder="1"/>
    <xf numFmtId="37" fontId="3" fillId="36" borderId="30" xfId="0" applyNumberFormat="1" applyFont="1" applyFill="1" applyBorder="1"/>
    <xf numFmtId="37" fontId="3" fillId="36" borderId="23" xfId="0" applyNumberFormat="1" applyFont="1" applyFill="1" applyBorder="1"/>
    <xf numFmtId="6" fontId="0" fillId="36" borderId="0" xfId="0" applyNumberFormat="1" applyFill="1"/>
    <xf numFmtId="37" fontId="2" fillId="36" borderId="23" xfId="0" applyNumberFormat="1" applyFont="1" applyFill="1" applyBorder="1"/>
    <xf numFmtId="164" fontId="0" fillId="36" borderId="23" xfId="0" applyNumberFormat="1" applyFill="1" applyBorder="1"/>
    <xf numFmtId="0" fontId="1" fillId="36" borderId="29" xfId="0" applyFont="1" applyFill="1" applyBorder="1"/>
    <xf numFmtId="0" fontId="0" fillId="36" borderId="34" xfId="0" applyFill="1" applyBorder="1"/>
    <xf numFmtId="0" fontId="0" fillId="36" borderId="23" xfId="0" applyFill="1" applyBorder="1"/>
    <xf numFmtId="9" fontId="2" fillId="36" borderId="0" xfId="209" applyFont="1" applyFill="1"/>
    <xf numFmtId="9" fontId="2" fillId="36" borderId="44" xfId="209" applyFont="1" applyFill="1" applyBorder="1"/>
    <xf numFmtId="9" fontId="2" fillId="36" borderId="46" xfId="209" applyFont="1" applyFill="1" applyBorder="1"/>
    <xf numFmtId="165" fontId="3" fillId="36" borderId="0" xfId="0" applyNumberFormat="1" applyFont="1" applyFill="1"/>
    <xf numFmtId="165" fontId="3" fillId="36" borderId="33" xfId="0" applyNumberFormat="1" applyFont="1" applyFill="1" applyBorder="1"/>
    <xf numFmtId="9" fontId="2" fillId="36" borderId="43" xfId="209" applyFont="1" applyFill="1" applyBorder="1"/>
    <xf numFmtId="9" fontId="2" fillId="36" borderId="45" xfId="209" applyFont="1" applyFill="1" applyBorder="1"/>
    <xf numFmtId="165" fontId="2" fillId="36" borderId="30" xfId="0" applyNumberFormat="1" applyFont="1" applyFill="1" applyBorder="1"/>
    <xf numFmtId="165" fontId="2" fillId="36" borderId="0" xfId="0" applyNumberFormat="1" applyFont="1" applyFill="1"/>
    <xf numFmtId="165" fontId="2" fillId="36" borderId="23" xfId="0" applyNumberFormat="1" applyFont="1" applyFill="1" applyBorder="1"/>
    <xf numFmtId="0" fontId="0" fillId="36" borderId="31" xfId="0" applyFill="1" applyBorder="1"/>
    <xf numFmtId="3" fontId="2" fillId="36" borderId="0" xfId="0" applyNumberFormat="1" applyFont="1" applyFill="1"/>
    <xf numFmtId="9" fontId="3" fillId="36" borderId="30" xfId="209" applyFont="1" applyFill="1" applyBorder="1"/>
    <xf numFmtId="9" fontId="3" fillId="36" borderId="0" xfId="209" applyFont="1" applyFill="1"/>
    <xf numFmtId="9" fontId="3" fillId="36" borderId="23" xfId="209" applyFont="1" applyFill="1" applyBorder="1"/>
    <xf numFmtId="164" fontId="3" fillId="36" borderId="30" xfId="0" applyNumberFormat="1" applyFont="1" applyFill="1" applyBorder="1"/>
    <xf numFmtId="164" fontId="3" fillId="36" borderId="23" xfId="0" applyNumberFormat="1" applyFont="1" applyFill="1" applyBorder="1"/>
    <xf numFmtId="14" fontId="2" fillId="36" borderId="0" xfId="212" applyNumberFormat="1" applyFont="1" applyFill="1" applyAlignment="1">
      <alignment horizontal="right"/>
    </xf>
    <xf numFmtId="14" fontId="2" fillId="36" borderId="0" xfId="0" applyNumberFormat="1" applyFont="1" applyFill="1" applyAlignment="1">
      <alignment horizontal="right"/>
    </xf>
    <xf numFmtId="234" fontId="3" fillId="36" borderId="0" xfId="0" applyNumberFormat="1" applyFont="1" applyFill="1"/>
    <xf numFmtId="7" fontId="90" fillId="36" borderId="0" xfId="0" applyNumberFormat="1" applyFont="1" applyFill="1" applyAlignment="1">
      <alignment horizontal="right"/>
    </xf>
    <xf numFmtId="7" fontId="90" fillId="36" borderId="29" xfId="0" applyNumberFormat="1" applyFont="1" applyFill="1" applyBorder="1" applyAlignment="1">
      <alignment horizontal="right"/>
    </xf>
    <xf numFmtId="14" fontId="0" fillId="36" borderId="0" xfId="0" applyNumberFormat="1" applyFill="1" applyAlignment="1">
      <alignment horizontal="center"/>
    </xf>
    <xf numFmtId="224" fontId="3" fillId="36" borderId="0" xfId="0" applyNumberFormat="1" applyFont="1" applyFill="1"/>
    <xf numFmtId="224" fontId="61" fillId="36" borderId="0" xfId="0" applyNumberFormat="1" applyFont="1" applyFill="1"/>
    <xf numFmtId="224" fontId="90" fillId="36" borderId="29" xfId="0" applyNumberFormat="1" applyFont="1" applyFill="1" applyBorder="1"/>
    <xf numFmtId="224" fontId="93" fillId="36" borderId="29" xfId="0" applyNumberFormat="1" applyFont="1" applyFill="1" applyBorder="1" applyAlignment="1">
      <alignment horizontal="center"/>
    </xf>
    <xf numFmtId="14" fontId="0" fillId="36" borderId="0" xfId="0" applyNumberFormat="1" applyFill="1"/>
    <xf numFmtId="234" fontId="0" fillId="36" borderId="0" xfId="0" applyNumberFormat="1" applyFill="1" applyAlignment="1">
      <alignment horizontal="center"/>
    </xf>
    <xf numFmtId="224" fontId="3" fillId="36" borderId="29" xfId="0" applyNumberFormat="1" applyFont="1" applyFill="1" applyBorder="1"/>
    <xf numFmtId="0" fontId="61" fillId="36" borderId="0" xfId="0" applyFont="1" applyFill="1"/>
    <xf numFmtId="243" fontId="0" fillId="36" borderId="0" xfId="0" applyNumberFormat="1" applyFill="1"/>
    <xf numFmtId="244" fontId="2" fillId="36" borderId="0" xfId="0" applyNumberFormat="1" applyFont="1" applyFill="1"/>
    <xf numFmtId="224" fontId="1" fillId="36" borderId="0" xfId="0" applyNumberFormat="1" applyFont="1" applyFill="1"/>
    <xf numFmtId="0" fontId="65" fillId="36" borderId="0" xfId="0" applyFont="1" applyFill="1" applyAlignment="1">
      <alignment horizontal="left"/>
    </xf>
    <xf numFmtId="234" fontId="65" fillId="36" borderId="0" xfId="0" applyNumberFormat="1" applyFont="1" applyFill="1"/>
    <xf numFmtId="245" fontId="65" fillId="36" borderId="0" xfId="0" applyNumberFormat="1" applyFont="1" applyFill="1"/>
    <xf numFmtId="244" fontId="65" fillId="36" borderId="0" xfId="0" applyNumberFormat="1" applyFont="1" applyFill="1"/>
    <xf numFmtId="164" fontId="0" fillId="36" borderId="0" xfId="0" quotePrefix="1" applyNumberFormat="1" applyFill="1"/>
    <xf numFmtId="0" fontId="67" fillId="36" borderId="0" xfId="0" applyFont="1" applyFill="1" applyAlignment="1">
      <alignment horizontal="left" vertical="center"/>
    </xf>
    <xf numFmtId="14" fontId="3" fillId="36" borderId="0" xfId="0" applyNumberFormat="1" applyFont="1" applyFill="1"/>
    <xf numFmtId="0" fontId="3" fillId="36" borderId="0" xfId="0" applyFont="1" applyFill="1" applyAlignment="1">
      <alignment horizontal="left" indent="1"/>
    </xf>
    <xf numFmtId="0" fontId="0" fillId="36" borderId="0" xfId="0" applyFill="1" applyAlignment="1">
      <alignment horizontal="left" vertical="center" indent="1"/>
    </xf>
    <xf numFmtId="0" fontId="1" fillId="36" borderId="0" xfId="0" applyFont="1" applyFill="1" applyAlignment="1">
      <alignment vertical="center"/>
    </xf>
    <xf numFmtId="37" fontId="65" fillId="36" borderId="29" xfId="0" applyNumberFormat="1" applyFont="1" applyFill="1" applyBorder="1" applyAlignment="1">
      <alignment horizontal="right"/>
    </xf>
    <xf numFmtId="249" fontId="0" fillId="36" borderId="0" xfId="0" applyNumberFormat="1" applyFill="1" applyAlignment="1">
      <alignment horizontal="right"/>
    </xf>
    <xf numFmtId="0" fontId="0" fillId="36" borderId="19" xfId="0" applyFill="1" applyBorder="1" applyAlignment="1">
      <alignment horizontal="left"/>
    </xf>
    <xf numFmtId="0" fontId="92" fillId="36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243" fontId="1" fillId="36" borderId="0" xfId="0" applyNumberFormat="1" applyFont="1" applyFill="1" applyAlignment="1">
      <alignment horizontal="center"/>
    </xf>
    <xf numFmtId="224" fontId="93" fillId="36" borderId="0" xfId="0" applyNumberFormat="1" applyFont="1" applyFill="1" applyAlignment="1">
      <alignment horizontal="center"/>
    </xf>
    <xf numFmtId="247" fontId="1" fillId="36" borderId="1" xfId="0" applyNumberFormat="1" applyFont="1" applyFill="1" applyBorder="1" applyAlignment="1">
      <alignment horizontal="right"/>
    </xf>
    <xf numFmtId="0" fontId="3" fillId="36" borderId="0" xfId="213" applyFont="1" applyFill="1" applyBorder="1"/>
    <xf numFmtId="0" fontId="94" fillId="36" borderId="19" xfId="0" applyFont="1" applyFill="1" applyBorder="1" applyAlignment="1">
      <alignment horizontal="left"/>
    </xf>
    <xf numFmtId="0" fontId="65" fillId="36" borderId="5" xfId="0" applyFont="1" applyFill="1" applyBorder="1"/>
    <xf numFmtId="242" fontId="1" fillId="36" borderId="0" xfId="0" applyNumberFormat="1" applyFont="1" applyFill="1" applyAlignment="1">
      <alignment horizontal="center"/>
    </xf>
    <xf numFmtId="10" fontId="90" fillId="36" borderId="0" xfId="209" applyNumberFormat="1" applyFont="1" applyFill="1" applyBorder="1"/>
    <xf numFmtId="0" fontId="95" fillId="36" borderId="53" xfId="0" applyFont="1" applyFill="1" applyBorder="1" applyAlignment="1" applyProtection="1">
      <alignment vertical="center"/>
      <protection locked="0"/>
    </xf>
    <xf numFmtId="0" fontId="95" fillId="36" borderId="0" xfId="0" applyFont="1" applyFill="1" applyAlignment="1" applyProtection="1">
      <alignment vertical="center"/>
      <protection locked="0"/>
    </xf>
    <xf numFmtId="0" fontId="0" fillId="36" borderId="0" xfId="0" applyFill="1" applyProtection="1">
      <protection locked="0"/>
    </xf>
    <xf numFmtId="0" fontId="95" fillId="36" borderId="50" xfId="0" applyFont="1" applyFill="1" applyBorder="1" applyAlignment="1" applyProtection="1">
      <alignment horizontal="left" indent="1"/>
      <protection locked="0"/>
    </xf>
    <xf numFmtId="0" fontId="0" fillId="36" borderId="50" xfId="0" applyFill="1" applyBorder="1" applyProtection="1">
      <protection locked="0"/>
    </xf>
    <xf numFmtId="0" fontId="99" fillId="36" borderId="50" xfId="0" applyFont="1" applyFill="1" applyBorder="1" applyProtection="1">
      <protection locked="0"/>
    </xf>
    <xf numFmtId="194" fontId="1" fillId="36" borderId="51" xfId="209" applyNumberFormat="1" applyFont="1" applyFill="1" applyBorder="1" applyProtection="1">
      <protection locked="0"/>
    </xf>
    <xf numFmtId="0" fontId="95" fillId="36" borderId="0" xfId="0" applyFont="1" applyFill="1" applyProtection="1">
      <protection locked="0"/>
    </xf>
    <xf numFmtId="0" fontId="0" fillId="36" borderId="0" xfId="0" applyFill="1" applyAlignment="1" applyProtection="1">
      <alignment horizontal="left" indent="1"/>
      <protection locked="0"/>
    </xf>
    <xf numFmtId="250" fontId="0" fillId="36" borderId="0" xfId="211" applyNumberFormat="1" applyFont="1" applyFill="1" applyProtection="1">
      <protection locked="0"/>
    </xf>
    <xf numFmtId="194" fontId="89" fillId="36" borderId="0" xfId="209" applyNumberFormat="1" applyFont="1" applyFill="1" applyBorder="1" applyProtection="1">
      <protection locked="0"/>
    </xf>
    <xf numFmtId="0" fontId="0" fillId="36" borderId="50" xfId="0" applyFill="1" applyBorder="1" applyAlignment="1" applyProtection="1">
      <alignment horizontal="left" indent="2"/>
      <protection locked="0"/>
    </xf>
    <xf numFmtId="250" fontId="1" fillId="36" borderId="52" xfId="209" applyNumberFormat="1" applyFont="1" applyFill="1" applyBorder="1" applyProtection="1">
      <protection locked="0"/>
    </xf>
    <xf numFmtId="9" fontId="0" fillId="36" borderId="0" xfId="209" applyFont="1" applyFill="1" applyProtection="1">
      <protection locked="0"/>
    </xf>
    <xf numFmtId="10" fontId="90" fillId="36" borderId="0" xfId="209" applyNumberFormat="1" applyFont="1" applyFill="1"/>
    <xf numFmtId="7" fontId="90" fillId="36" borderId="0" xfId="0" applyNumberFormat="1" applyFont="1" applyFill="1"/>
    <xf numFmtId="14" fontId="90" fillId="36" borderId="0" xfId="0" applyNumberFormat="1" applyFont="1" applyFill="1" applyAlignment="1">
      <alignment horizontal="right"/>
    </xf>
    <xf numFmtId="224" fontId="3" fillId="36" borderId="5" xfId="0" applyNumberFormat="1" applyFont="1" applyFill="1" applyBorder="1"/>
    <xf numFmtId="0" fontId="1" fillId="36" borderId="5" xfId="0" applyFont="1" applyFill="1" applyBorder="1" applyAlignment="1">
      <alignment horizontal="left"/>
    </xf>
    <xf numFmtId="0" fontId="1" fillId="36" borderId="5" xfId="0" applyFont="1" applyFill="1" applyBorder="1" applyAlignment="1">
      <alignment vertical="center"/>
    </xf>
    <xf numFmtId="37" fontId="1" fillId="36" borderId="5" xfId="0" applyNumberFormat="1" applyFont="1" applyFill="1" applyBorder="1"/>
    <xf numFmtId="0" fontId="67" fillId="36" borderId="0" xfId="0" applyFont="1" applyFill="1" applyAlignment="1">
      <alignment horizontal="right"/>
    </xf>
    <xf numFmtId="246" fontId="2" fillId="36" borderId="0" xfId="0" applyNumberFormat="1" applyFont="1" applyFill="1"/>
    <xf numFmtId="201" fontId="90" fillId="36" borderId="0" xfId="0" applyNumberFormat="1" applyFont="1" applyFill="1" applyAlignment="1">
      <alignment horizontal="right"/>
    </xf>
    <xf numFmtId="3" fontId="64" fillId="36" borderId="5" xfId="0" applyNumberFormat="1" applyFont="1" applyFill="1" applyBorder="1"/>
    <xf numFmtId="224" fontId="0" fillId="36" borderId="0" xfId="0" applyNumberFormat="1" applyFill="1" applyAlignment="1">
      <alignment horizontal="right"/>
    </xf>
    <xf numFmtId="37" fontId="0" fillId="36" borderId="0" xfId="0" applyNumberFormat="1" applyFill="1" applyAlignment="1">
      <alignment horizontal="right"/>
    </xf>
    <xf numFmtId="248" fontId="0" fillId="36" borderId="0" xfId="0" applyNumberFormat="1" applyFill="1" applyAlignment="1">
      <alignment horizontal="right"/>
    </xf>
    <xf numFmtId="248" fontId="0" fillId="36" borderId="5" xfId="0" applyNumberFormat="1" applyFill="1" applyBorder="1" applyAlignment="1">
      <alignment horizontal="right"/>
    </xf>
    <xf numFmtId="0" fontId="92" fillId="36" borderId="0" xfId="0" applyFont="1" applyFill="1" applyAlignment="1">
      <alignment horizontal="centerContinuous"/>
    </xf>
    <xf numFmtId="247" fontId="0" fillId="36" borderId="0" xfId="0" applyNumberFormat="1" applyFill="1"/>
    <xf numFmtId="0" fontId="67" fillId="36" borderId="0" xfId="0" applyFont="1" applyFill="1" applyAlignment="1">
      <alignment horizontal="centerContinuous"/>
    </xf>
    <xf numFmtId="10" fontId="0" fillId="36" borderId="5" xfId="209" applyNumberFormat="1" applyFont="1" applyFill="1" applyBorder="1"/>
    <xf numFmtId="10" fontId="2" fillId="36" borderId="5" xfId="209" applyNumberFormat="1" applyFont="1" applyFill="1" applyBorder="1"/>
    <xf numFmtId="10" fontId="0" fillId="36" borderId="6" xfId="209" applyNumberFormat="1" applyFont="1" applyFill="1" applyBorder="1"/>
    <xf numFmtId="10" fontId="2" fillId="36" borderId="6" xfId="209" applyNumberFormat="1" applyFont="1" applyFill="1" applyBorder="1"/>
    <xf numFmtId="44" fontId="0" fillId="36" borderId="0" xfId="210" applyFont="1" applyFill="1"/>
    <xf numFmtId="248" fontId="2" fillId="36" borderId="5" xfId="0" applyNumberFormat="1" applyFont="1" applyFill="1" applyBorder="1" applyAlignment="1">
      <alignment horizontal="right"/>
    </xf>
    <xf numFmtId="248" fontId="0" fillId="36" borderId="0" xfId="0" applyNumberFormat="1" applyFill="1"/>
    <xf numFmtId="10" fontId="0" fillId="36" borderId="5" xfId="209" applyNumberFormat="1" applyFont="1" applyFill="1" applyBorder="1" applyAlignment="1"/>
    <xf numFmtId="10" fontId="2" fillId="36" borderId="5" xfId="209" applyNumberFormat="1" applyFont="1" applyFill="1" applyBorder="1" applyAlignment="1"/>
    <xf numFmtId="0" fontId="1" fillId="36" borderId="5" xfId="0" applyFont="1" applyFill="1" applyBorder="1" applyAlignment="1">
      <alignment horizontal="centerContinuous"/>
    </xf>
    <xf numFmtId="0" fontId="0" fillId="36" borderId="5" xfId="0" applyFill="1" applyBorder="1"/>
    <xf numFmtId="10" fontId="0" fillId="36" borderId="0" xfId="209" applyNumberFormat="1" applyFont="1" applyFill="1" applyBorder="1"/>
    <xf numFmtId="0" fontId="1" fillId="36" borderId="5" xfId="0" applyFont="1" applyFill="1" applyBorder="1"/>
    <xf numFmtId="0" fontId="0" fillId="36" borderId="54" xfId="0" applyFill="1" applyBorder="1"/>
    <xf numFmtId="0" fontId="0" fillId="36" borderId="55" xfId="0" applyFill="1" applyBorder="1" applyAlignment="1">
      <alignment horizontal="right"/>
    </xf>
    <xf numFmtId="0" fontId="0" fillId="36" borderId="56" xfId="0" applyFill="1" applyBorder="1" applyAlignment="1">
      <alignment horizontal="right"/>
    </xf>
    <xf numFmtId="0" fontId="0" fillId="36" borderId="57" xfId="0" quotePrefix="1" applyFill="1" applyBorder="1"/>
    <xf numFmtId="39" fontId="0" fillId="36" borderId="0" xfId="0" applyNumberFormat="1" applyFill="1"/>
    <xf numFmtId="39" fontId="0" fillId="36" borderId="58" xfId="0" applyNumberFormat="1" applyFill="1" applyBorder="1"/>
    <xf numFmtId="0" fontId="0" fillId="36" borderId="57" xfId="0" applyFill="1" applyBorder="1"/>
    <xf numFmtId="0" fontId="0" fillId="36" borderId="59" xfId="0" applyFill="1" applyBorder="1"/>
    <xf numFmtId="39" fontId="0" fillId="36" borderId="1" xfId="0" applyNumberFormat="1" applyFill="1" applyBorder="1"/>
    <xf numFmtId="10" fontId="95" fillId="36" borderId="53" xfId="209" applyNumberFormat="1" applyFont="1" applyFill="1" applyBorder="1" applyAlignment="1" applyProtection="1">
      <alignment vertical="center"/>
      <protection locked="0"/>
    </xf>
    <xf numFmtId="234" fontId="63" fillId="36" borderId="61" xfId="0" applyNumberFormat="1" applyFont="1" applyFill="1" applyBorder="1"/>
    <xf numFmtId="234" fontId="63" fillId="36" borderId="62" xfId="0" applyNumberFormat="1" applyFont="1" applyFill="1" applyBorder="1"/>
    <xf numFmtId="0" fontId="0" fillId="36" borderId="62" xfId="0" applyFill="1" applyBorder="1"/>
    <xf numFmtId="0" fontId="0" fillId="36" borderId="63" xfId="0" applyFill="1" applyBorder="1"/>
    <xf numFmtId="234" fontId="63" fillId="36" borderId="65" xfId="0" applyNumberFormat="1" applyFont="1" applyFill="1" applyBorder="1"/>
    <xf numFmtId="0" fontId="0" fillId="36" borderId="65" xfId="0" applyFill="1" applyBorder="1"/>
    <xf numFmtId="0" fontId="0" fillId="36" borderId="66" xfId="0" applyFill="1" applyBorder="1"/>
    <xf numFmtId="44" fontId="0" fillId="36" borderId="0" xfId="0" applyNumberFormat="1" applyFill="1"/>
    <xf numFmtId="14" fontId="2" fillId="36" borderId="0" xfId="0" applyNumberFormat="1" applyFont="1" applyFill="1"/>
    <xf numFmtId="241" fontId="2" fillId="36" borderId="0" xfId="0" applyNumberFormat="1" applyFont="1" applyFill="1"/>
    <xf numFmtId="37" fontId="100" fillId="36" borderId="0" xfId="0" applyNumberFormat="1" applyFont="1" applyFill="1"/>
    <xf numFmtId="10" fontId="2" fillId="36" borderId="49" xfId="209" applyNumberFormat="1" applyFont="1" applyFill="1" applyBorder="1"/>
    <xf numFmtId="239" fontId="2" fillId="36" borderId="0" xfId="0" applyNumberFormat="1" applyFont="1" applyFill="1"/>
    <xf numFmtId="234" fontId="66" fillId="36" borderId="64" xfId="0" applyNumberFormat="1" applyFont="1" applyFill="1" applyBorder="1"/>
    <xf numFmtId="194" fontId="3" fillId="36" borderId="0" xfId="0" applyNumberFormat="1" applyFont="1" applyFill="1"/>
    <xf numFmtId="7" fontId="3" fillId="36" borderId="0" xfId="0" applyNumberFormat="1" applyFont="1" applyFill="1"/>
    <xf numFmtId="0" fontId="100" fillId="36" borderId="0" xfId="0" applyFont="1" applyFill="1" applyAlignment="1">
      <alignment horizontal="center"/>
    </xf>
    <xf numFmtId="167" fontId="2" fillId="36" borderId="0" xfId="0" applyNumberFormat="1" applyFont="1" applyFill="1" applyProtection="1">
      <protection locked="0"/>
    </xf>
    <xf numFmtId="43" fontId="2" fillId="36" borderId="0" xfId="211" applyFont="1" applyFill="1" applyAlignment="1" applyProtection="1">
      <alignment horizontal="right"/>
      <protection locked="0"/>
    </xf>
    <xf numFmtId="39" fontId="2" fillId="36" borderId="1" xfId="0" applyNumberFormat="1" applyFont="1" applyFill="1" applyBorder="1"/>
    <xf numFmtId="39" fontId="2" fillId="36" borderId="60" xfId="0" applyNumberFormat="1" applyFont="1" applyFill="1" applyBorder="1"/>
    <xf numFmtId="0" fontId="90" fillId="36" borderId="0" xfId="0" applyFont="1" applyFill="1"/>
    <xf numFmtId="207" fontId="90" fillId="36" borderId="0" xfId="0" applyNumberFormat="1" applyFont="1" applyFill="1" applyProtection="1">
      <protection locked="0"/>
    </xf>
    <xf numFmtId="223" fontId="101" fillId="36" borderId="0" xfId="0" applyNumberFormat="1" applyFont="1" applyFill="1"/>
    <xf numFmtId="236" fontId="97" fillId="36" borderId="27" xfId="0" applyNumberFormat="1" applyFont="1" applyFill="1" applyBorder="1"/>
    <xf numFmtId="44" fontId="97" fillId="36" borderId="0" xfId="210" applyFont="1" applyFill="1"/>
    <xf numFmtId="237" fontId="97" fillId="36" borderId="28" xfId="0" applyNumberFormat="1" applyFont="1" applyFill="1" applyBorder="1"/>
    <xf numFmtId="210" fontId="97" fillId="36" borderId="0" xfId="210" applyNumberFormat="1" applyFont="1" applyFill="1"/>
  </cellXfs>
  <cellStyles count="214">
    <cellStyle name="$" xfId="1" xr:uid="{482038F4-E84A-45A9-837B-6FD1525601A7}"/>
    <cellStyle name="$m" xfId="2" xr:uid="{69B6321F-020F-4D1A-BAAF-0F0EA4BDB027}"/>
    <cellStyle name="$q" xfId="3" xr:uid="{CF42C1E3-BBA8-43F5-A478-7C1273124B8C}"/>
    <cellStyle name="$q*" xfId="4" xr:uid="{F150516A-4160-485A-8731-7CADD25C8EF9}"/>
    <cellStyle name="$qA" xfId="5" xr:uid="{F9ECCADE-61ED-4A7D-8C26-27192DECC706}"/>
    <cellStyle name="$qRange" xfId="6" xr:uid="{BE34ABDF-1AC4-426F-B2EE-618F3B56815C}"/>
    <cellStyle name="%" xfId="7" xr:uid="{FFDC2AE1-512F-477B-A73C-E5065975D524}"/>
    <cellStyle name="******************************************" xfId="8" xr:uid="{6F398997-A541-49E6-B9BF-BAF6BD7D994C}"/>
    <cellStyle name="10Q" xfId="184" xr:uid="{33B88824-202D-402E-B324-7E4F948A71C7}"/>
    <cellStyle name="2 Decimal Places_MA Software Comps - List_AccretionDilution OTGS v16.xls Chart 1" xfId="9" xr:uid="{39287BB8-D540-4C87-98F4-A4C8F890C09D}"/>
    <cellStyle name="20% - Accent1 2" xfId="10" xr:uid="{EAF3E463-AB7F-475E-A609-E816242F3805}"/>
    <cellStyle name="20% - Accent2 2" xfId="11" xr:uid="{1D2D662B-3011-4143-A873-4D1FC1A0DDC4}"/>
    <cellStyle name="20% - Accent3 2" xfId="12" xr:uid="{09D01895-65C5-49C4-B271-EE12C959E10B}"/>
    <cellStyle name="20% - Accent4 2" xfId="13" xr:uid="{27F5EA46-C217-4765-9C80-BA20D97BDAA3}"/>
    <cellStyle name="20% - Accent5 2" xfId="14" xr:uid="{97581FAE-AFF3-4CCC-8FB8-7F4A364AA1EE}"/>
    <cellStyle name="20% - Accent6 2" xfId="15" xr:uid="{1EC0255E-A437-47EE-BB84-7688772F70AD}"/>
    <cellStyle name="40% - Accent1 2" xfId="16" xr:uid="{0977950B-B041-4415-A2FF-F449B3C4F77B}"/>
    <cellStyle name="40% - Accent2 2" xfId="17" xr:uid="{4ABA37A9-B6DF-4769-BDC0-EB8519A72A14}"/>
    <cellStyle name="40% - Accent3 2" xfId="18" xr:uid="{9E0F0923-A896-47AF-9A15-8D8F7F3D19B9}"/>
    <cellStyle name="40% - Accent4 2" xfId="19" xr:uid="{86532499-64C8-4DA7-885C-DC54C347CA23}"/>
    <cellStyle name="40% - Accent5 2" xfId="20" xr:uid="{4A1E5BD6-5E47-45CB-91FF-D935BE103529}"/>
    <cellStyle name="40% - Accent6 2" xfId="21" xr:uid="{ABE8F783-6012-459A-868C-1AE61BAB61A6}"/>
    <cellStyle name="60% - Accent1 2" xfId="22" xr:uid="{B15DB0BF-1E17-419A-A28F-F0DEACE166E0}"/>
    <cellStyle name="60% - Accent2 2" xfId="23" xr:uid="{F44C48BC-DB12-478D-919F-7A1FA441BC79}"/>
    <cellStyle name="60% - Accent3 2" xfId="24" xr:uid="{87EB71A4-9322-45C5-ADF3-3E3FE3C2F9B6}"/>
    <cellStyle name="60% - Accent4 2" xfId="25" xr:uid="{7FB3323D-4323-41A9-B8AC-2C3AFAFEF867}"/>
    <cellStyle name="60% - Accent5 2" xfId="26" xr:uid="{3D34E64D-64BD-4F63-B377-E11ED4303EA0}"/>
    <cellStyle name="60% - Accent6 2" xfId="27" xr:uid="{1879ECE7-9B92-4E37-A4D1-F70695BE5820}"/>
    <cellStyle name="Accent1 2" xfId="28" xr:uid="{9F4EFD2E-08A8-498E-9385-AB332D14FA3D}"/>
    <cellStyle name="Accent2 2" xfId="29" xr:uid="{CD9B4400-63E2-4DC4-BCF7-1336B2A25986}"/>
    <cellStyle name="Accent3 2" xfId="30" xr:uid="{97F078FB-CB6E-415B-88B6-09EDD6C9CD1E}"/>
    <cellStyle name="Accent4 2" xfId="31" xr:uid="{FCE467F7-4F19-488E-834A-F56F344CD71E}"/>
    <cellStyle name="Accent5 2" xfId="32" xr:uid="{AF3A8666-D9AB-4ABA-A7B5-3F6AC665D561}"/>
    <cellStyle name="Accent6 2" xfId="33" xr:uid="{66AFE6CA-6E8A-4FBC-9DBD-5AF28A880E1C}"/>
    <cellStyle name="AFE" xfId="34" xr:uid="{BB3F00DF-FA39-46E0-987F-3C4B96F57ACE}"/>
    <cellStyle name="Bad 2" xfId="35" xr:uid="{53AB6857-9FED-441A-859E-FD64D272B403}"/>
    <cellStyle name="Balance" xfId="36" xr:uid="{D7C94628-DE7F-45A2-8BBD-01DF73B7EB40}"/>
    <cellStyle name="BalanceSheet" xfId="37" xr:uid="{167BF0D1-3DCF-4D93-B000-BCDB8646ED20}"/>
    <cellStyle name="Body_$Numeric" xfId="38" xr:uid="{E6AE4233-F395-4143-8DE2-ECDAA43863B8}"/>
    <cellStyle name="Bold Header" xfId="39" xr:uid="{16EC5ABB-E19C-4693-8001-C75B341D2152}"/>
    <cellStyle name="Calculation 2" xfId="40" xr:uid="{2D06F8D9-0688-4F7A-8619-BD0179483174}"/>
    <cellStyle name="CashFlow" xfId="41" xr:uid="{295AEC1C-3138-4851-8F37-03862FB0B904}"/>
    <cellStyle name="ChartingText" xfId="185" xr:uid="{A1FEF7E2-D002-490A-90B7-3EE45856314F}"/>
    <cellStyle name="Check" xfId="42" xr:uid="{FF257FED-5B29-4592-9626-A8EACA019BD1}"/>
    <cellStyle name="Check Cell 2" xfId="43" xr:uid="{9F40C799-FBE1-4757-8A2D-59C2822E9E5E}"/>
    <cellStyle name="CHPTop" xfId="186" xr:uid="{FB0C2C0A-EBF6-4C51-AC7E-CBCD78A081E8}"/>
    <cellStyle name="ColHeading" xfId="44" xr:uid="{599503BC-73DB-44E1-AFDB-6FCBE79D31F6}"/>
    <cellStyle name="colheadleft" xfId="45" xr:uid="{6ED04B1F-588E-4BE9-99E3-63D3A2E8B455}"/>
    <cellStyle name="colheadright" xfId="46" xr:uid="{12095AE9-4E82-4EB8-A24C-635D9AD96681}"/>
    <cellStyle name="ColumnHeaderNormal" xfId="187" xr:uid="{3BE655CB-ADAB-49A6-92A5-69A6203C65A0}"/>
    <cellStyle name="Comma" xfId="211" builtinId="3"/>
    <cellStyle name="Comma 2" xfId="47" xr:uid="{A149233A-C2BC-45EB-97F7-1A9BBDF87130}"/>
    <cellStyle name="Comma0" xfId="48" xr:uid="{343B6A26-5CA6-4BA7-87D6-D58A96C85E45}"/>
    <cellStyle name="Comma2" xfId="49" xr:uid="{A0B09BEC-8555-4490-AE26-CBE0DA69BB62}"/>
    <cellStyle name="Company" xfId="50" xr:uid="{FFDAA760-4AD1-48AF-9AA1-98B2CF548992}"/>
    <cellStyle name="CurRatio" xfId="51" xr:uid="{D94C049B-F033-44AB-ACD1-5BC586597436}"/>
    <cellStyle name="Currency" xfId="210" builtinId="4"/>
    <cellStyle name="Currency--" xfId="188" xr:uid="{918F4CE3-C381-474C-B035-5EB7AC3958BB}"/>
    <cellStyle name="Currency [1]" xfId="52" xr:uid="{E77FDB96-9723-4355-AD25-C82B6E048E9C}"/>
    <cellStyle name="Currency [2]" xfId="53" xr:uid="{2D32D187-BA4C-440F-A436-6351A7F89F8F}"/>
    <cellStyle name="Currency0" xfId="54" xr:uid="{793C9922-37CD-49E5-9071-DD3E333742DB}"/>
    <cellStyle name="Currency2" xfId="55" xr:uid="{B5E0FBF3-7EA9-4775-92D8-0A0BE4D4F9A7}"/>
    <cellStyle name="d_yield" xfId="56" xr:uid="{4C414F0A-CB35-44E0-8EDA-198CEFF93C26}"/>
    <cellStyle name="d_yield_CW's MAKER MODEL" xfId="57" xr:uid="{A911831B-6F7E-4B61-B565-A73DF74BC881}"/>
    <cellStyle name="d_yield_valuation" xfId="58" xr:uid="{D6E838A4-CC97-4948-A752-DA2D367EA27F}"/>
    <cellStyle name="Date [d-mmm-yy]" xfId="59" xr:uid="{3E6EFF28-D70B-4CDA-9AD5-E3F79132C48A}"/>
    <cellStyle name="Date [mm-dd-yy]" xfId="189" xr:uid="{4654B13A-3534-4F56-A740-65B1C17A1C00}"/>
    <cellStyle name="Date [mm-dd-yyyy]" xfId="190" xr:uid="{A62205D2-6959-4E37-B73A-B7A4E0C4020B}"/>
    <cellStyle name="Date [mm-d-yyyy]" xfId="191" xr:uid="{6CDF97BD-991A-4A17-95FB-F775FCE57CDF}"/>
    <cellStyle name="Date [mmm-d-yyyy]" xfId="60" xr:uid="{A05AAE45-A4B8-476E-9011-92F62F902F16}"/>
    <cellStyle name="Date [mmm-yyyy]" xfId="61" xr:uid="{BAA11B53-DCF6-456F-8868-BEDF12E613CC}"/>
    <cellStyle name="Dates" xfId="62" xr:uid="{3FCFAC57-D76B-4A9C-8782-C9F1006F10E0}"/>
    <cellStyle name="DateYear" xfId="63" xr:uid="{086A8F83-BC4A-4500-B13A-207505E9E2F3}"/>
    <cellStyle name="Dezimal_Capital expenditure planning FY 2000" xfId="64" xr:uid="{81FB247C-C027-4316-A976-E19B069CFA34}"/>
    <cellStyle name="Dollar" xfId="65" xr:uid="{87F983AC-5A5B-4D0D-8FBD-CAE330C0AC19}"/>
    <cellStyle name="Dollars" xfId="66" xr:uid="{B250D7AE-1692-4E19-8A02-09A8FBDC3B30}"/>
    <cellStyle name="DollarWhole" xfId="67" xr:uid="{B518D740-7E4F-4D74-840B-BDB7000A0190}"/>
    <cellStyle name="eps" xfId="68" xr:uid="{093E1CCE-D212-492D-A245-886A38741B9C}"/>
    <cellStyle name="eps$" xfId="69" xr:uid="{FB726DAB-5C74-4BFD-9008-D894C2BA95C0}"/>
    <cellStyle name="eps$A" xfId="70" xr:uid="{54C3882A-207D-4BAC-92F3-74D965196F1B}"/>
    <cellStyle name="eps$E" xfId="71" xr:uid="{C0B984AE-A792-4A9D-B872-62EF41314B2A}"/>
    <cellStyle name="epsA" xfId="72" xr:uid="{A290F203-648A-4FA9-9AFF-3ECF6594D0E5}"/>
    <cellStyle name="EPSActual" xfId="73" xr:uid="{080FDC25-CFE0-4E30-83E5-DE1BE47ACDC0}"/>
    <cellStyle name="epsE" xfId="74" xr:uid="{503B5C3D-269C-48C6-BDA2-42BB707E9E40}"/>
    <cellStyle name="EPSEstimate" xfId="75" xr:uid="{A8D69479-824C-444E-90FC-05ADCEB73E5D}"/>
    <cellStyle name="Euro" xfId="76" xr:uid="{9BC4559E-2A3B-424F-97C9-1BE5291F5C49}"/>
    <cellStyle name="Explanatory Text 2" xfId="77" xr:uid="{7F14D1A2-8073-41DC-B48C-09AE36DB839C}"/>
    <cellStyle name="fy_eps$" xfId="78" xr:uid="{7D0E25CD-D14D-4C37-91AA-837257745953}"/>
    <cellStyle name="g_rate" xfId="79" xr:uid="{375204F2-74DB-4975-B7D6-5C099A801854}"/>
    <cellStyle name="g_rate_CW's MAKER MODEL" xfId="80" xr:uid="{DEF52150-F12F-4F80-9660-FFB2B58576C6}"/>
    <cellStyle name="g_rate_valuation" xfId="81" xr:uid="{59EE49E0-BF46-4239-927E-06B3F116BB68}"/>
    <cellStyle name="General" xfId="82" xr:uid="{D68E2E40-4A3D-4EDC-B253-F1DB9D7A9EF6}"/>
    <cellStyle name="Good 2" xfId="83" xr:uid="{6D7399C6-9C8B-4A86-8F20-A467AD3FD504}"/>
    <cellStyle name="GrowthRate" xfId="84" xr:uid="{79DD0586-B2F1-498B-84CF-414A7CB5D434}"/>
    <cellStyle name="GrowthSeq" xfId="85" xr:uid="{EF34D209-A05F-49CA-AF47-5D0F15B7C3A4}"/>
    <cellStyle name="Hard Number Input" xfId="86" xr:uid="{E61F1347-34AF-41AB-A7C0-7FCA73D9EDE5}"/>
    <cellStyle name="Heading 1 2" xfId="87" xr:uid="{31024E49-64FB-481D-985E-46D6170B4CBE}"/>
    <cellStyle name="Heading 2 2" xfId="88" xr:uid="{9CEC6F47-7A33-44EB-8DA0-84FA35FB48A8}"/>
    <cellStyle name="Heading 3 2" xfId="89" xr:uid="{5ADF1702-C5DF-4372-8FF0-CFDEF616FEF3}"/>
    <cellStyle name="Heading 4 2" xfId="90" xr:uid="{9B04E1A1-44AF-4AAC-9540-074609577643}"/>
    <cellStyle name="Historical Number" xfId="91" xr:uid="{846EEB17-034A-41A5-867A-A52936ECD6A9}"/>
    <cellStyle name="Hyperlink" xfId="213" builtinId="8"/>
    <cellStyle name="iemens" xfId="92" xr:uid="{871D5274-680A-4D02-A916-1EE2BE18F68C}"/>
    <cellStyle name="Income" xfId="93" xr:uid="{7356A5A6-D1FF-45E6-9BD2-D0A5088AABB3}"/>
    <cellStyle name="IncomeStatement" xfId="94" xr:uid="{4DCF7646-A2EE-4767-B99F-F1ED668905FB}"/>
    <cellStyle name="Input 2" xfId="95" xr:uid="{42DD371D-E053-4598-A227-2FB32C283028}"/>
    <cellStyle name="Input Fixed [0]" xfId="96" xr:uid="{60EE9A67-CB9C-46D2-9F8A-C1FC26837CC0}"/>
    <cellStyle name="Integer" xfId="97" xr:uid="{37199A02-DC26-49A6-B716-B35E660073A0}"/>
    <cellStyle name="Inverse Header" xfId="98" xr:uid="{5980AEEE-043E-423B-A59D-27FC5EEBB07F}"/>
    <cellStyle name="Invisible" xfId="192" xr:uid="{BA7713E3-11D0-4352-B244-A007C120ABA0}"/>
    <cellStyle name="Item" xfId="99" xr:uid="{1B99943B-6A74-4F22-AA12-982FF78DB2CA}"/>
    <cellStyle name="ItemTypeClass" xfId="100" xr:uid="{496CAFF0-A27C-4B9E-A39E-4137E89A7228}"/>
    <cellStyle name="Linked Cell 2" xfId="101" xr:uid="{3111636E-26F6-4CEA-B465-78FAF9B6E44D}"/>
    <cellStyle name="LTGR" xfId="102" xr:uid="{DC75CCE8-A713-4240-922A-A421B9BCF924}"/>
    <cellStyle name="m" xfId="103" xr:uid="{EDD543A2-D089-4118-9949-7E9FD88E340F}"/>
    <cellStyle name="m$" xfId="104" xr:uid="{E6BE8A65-CC4F-424D-BEB5-2033DE3946F9}"/>
    <cellStyle name="m/d/yy" xfId="193" xr:uid="{CCE33C56-7AA3-418F-9F8A-DBA6945A5F05}"/>
    <cellStyle name="m_CW's MAKER MODEL" xfId="105" xr:uid="{FC17D159-6BCF-44FD-86CE-640D20375C04}"/>
    <cellStyle name="m_valuation" xfId="106" xr:uid="{EC832C9C-D9CC-4870-BB81-60B4A8950373}"/>
    <cellStyle name="Margin" xfId="107" xr:uid="{2AF24283-BC6E-40BD-BFE0-0573A6B06FB6}"/>
    <cellStyle name="Margins" xfId="108" xr:uid="{0B91F346-43C9-45DB-8D7D-F57E70E3DC0D}"/>
    <cellStyle name="mm" xfId="109" xr:uid="{3515D7B1-4966-4D48-847D-B9A0B23B0BD4}"/>
    <cellStyle name="Multiple" xfId="110" xr:uid="{A22378C3-78B6-4655-9B10-9C4979E6B1F2}"/>
    <cellStyle name="MyStyle" xfId="194" xr:uid="{AE7C87C3-D7D2-4B60-865E-0CC8DD211652}"/>
    <cellStyle name="NA is zero" xfId="111" xr:uid="{955D060A-554A-43C7-BF18-91EF4F132082}"/>
    <cellStyle name="Neutral 2" xfId="112" xr:uid="{FB639849-D6F2-48A5-843D-5282A60C64A6}"/>
    <cellStyle name="NewColumnHeaderNormal" xfId="195" xr:uid="{9E229575-8742-4C7E-AB7A-8CE6BEAD7BF1}"/>
    <cellStyle name="NewSectionHeaderNormal" xfId="196" xr:uid="{DBCC8ECF-DCCD-4655-89B0-92E648332CD6}"/>
    <cellStyle name="NewTitleNormal" xfId="197" xr:uid="{4911381C-A53E-48D6-B860-E24E113E694F}"/>
    <cellStyle name="Normal" xfId="0" builtinId="0"/>
    <cellStyle name="Normal--" xfId="198" xr:uid="{197CA139-C6C1-4596-A390-59C1A3C1EE6E}"/>
    <cellStyle name="Normal [0]" xfId="113" xr:uid="{9E741B59-8339-4258-BF9A-6B2A3027FE9D}"/>
    <cellStyle name="Normal [1]" xfId="114" xr:uid="{4059B778-5B73-40D3-8321-4615D4130D2D}"/>
    <cellStyle name="Normal [2]" xfId="115" xr:uid="{4A8E5D08-E4C7-4828-B22B-0456FCB4AF14}"/>
    <cellStyle name="Normal [3]" xfId="116" xr:uid="{D02DF708-3A3A-4E92-8C09-0F4DCA1DC737}"/>
    <cellStyle name="Normal 2" xfId="117" xr:uid="{8B877D69-C157-4688-8AAF-EC189947685E}"/>
    <cellStyle name="Normal Bold" xfId="118" xr:uid="{BC714FF7-AE72-4F15-8A40-766B06946EA8}"/>
    <cellStyle name="Normal Pct" xfId="119" xr:uid="{6F394AAA-79CA-435D-9192-A33485DF8A04}"/>
    <cellStyle name="Normal_DCF_Model" xfId="212" xr:uid="{B69D28B4-0E3D-48A2-A216-F12864C2A4C2}"/>
    <cellStyle name="NormalX" xfId="120" xr:uid="{259FDB4F-8BD6-4640-BD16-F91C8E58982A}"/>
    <cellStyle name="Note 2" xfId="121" xr:uid="{9DE1E15B-493F-43CE-981B-5C2DE50282B8}"/>
    <cellStyle name="NPPESalesPct" xfId="122" xr:uid="{4D8DB6E4-0E10-4AF5-8DC0-46B1109CEEFA}"/>
    <cellStyle name="Number" xfId="123" xr:uid="{F5BD183E-004E-4DDA-9A0C-F239B883AE13}"/>
    <cellStyle name="NWI%S" xfId="124" xr:uid="{789100E6-1EE4-4726-A6CC-43ECB1182D72}"/>
    <cellStyle name="Output 2" xfId="125" xr:uid="{06E7AD2F-A1E6-41A9-B324-CFC6E5A7371B}"/>
    <cellStyle name="P/E" xfId="126" xr:uid="{96D73900-8077-4207-B3A3-952248868782}"/>
    <cellStyle name="Palatino" xfId="127" xr:uid="{42A9ECA8-8ED4-47A3-9FF9-975B344718A3}"/>
    <cellStyle name="pc1" xfId="128" xr:uid="{0C6E741B-8A17-46EE-922A-B97C6F67B318}"/>
    <cellStyle name="pe" xfId="129" xr:uid="{7A9EAB25-050A-45EA-B234-5BB37DBBFFF5}"/>
    <cellStyle name="PE/LTGR" xfId="130" xr:uid="{971DF607-F36E-44DD-8DE1-8822EAEFE1DF}"/>
    <cellStyle name="PEG" xfId="131" xr:uid="{137C9C8B-081D-4A44-9C91-6EA8421C0488}"/>
    <cellStyle name="Percent" xfId="209" builtinId="5"/>
    <cellStyle name="Percent [0]" xfId="132" xr:uid="{68BA53BB-49BE-4571-A800-F7E711C2611B}"/>
    <cellStyle name="Percent [1]" xfId="133" xr:uid="{BCFBB69C-7BC0-4D00-9E35-148CADF6E4BC}"/>
    <cellStyle name="Percent [2]" xfId="134" xr:uid="{D19174E6-CE69-4CE7-84B0-E81E51ABB5DE}"/>
    <cellStyle name="PercentChange" xfId="135" xr:uid="{A2BEB646-1FE0-49DD-9D3E-BF166F9BD018}"/>
    <cellStyle name="PercentPresentation" xfId="136" xr:uid="{562E6B9E-178F-4F22-BF43-24D43BD3334F}"/>
    <cellStyle name="PerShare" xfId="137" xr:uid="{D48E56EA-D284-496C-A5D8-1A2DD7FD63D7}"/>
    <cellStyle name="POPS" xfId="138" xr:uid="{C02C6256-8037-416C-AA45-8A9AB7C9F4B3}"/>
    <cellStyle name="Presentation" xfId="139" xr:uid="{AC18D69B-9B9A-4176-9186-6B3E554A83C2}"/>
    <cellStyle name="PresentationZero" xfId="140" xr:uid="{FACD36EB-F07C-4911-A175-11B85D68F838}"/>
    <cellStyle name="price" xfId="141" xr:uid="{F7B6525D-86F4-4163-B4D1-91A446C73A5B}"/>
    <cellStyle name="q" xfId="142" xr:uid="{F4B338B9-E967-4972-9322-67CC3DF8F8AE}"/>
    <cellStyle name="q_CW's MAKER MODEL" xfId="143" xr:uid="{D6A91953-816B-4734-9D4A-971AE509D20E}"/>
    <cellStyle name="QEPS-h" xfId="144" xr:uid="{B0512370-E4E9-4F86-A39B-BA9A47EF2E93}"/>
    <cellStyle name="QEPS-H1" xfId="145" xr:uid="{DF8C2C4F-2E6D-418F-AF72-E1106B921B59}"/>
    <cellStyle name="qRange" xfId="146" xr:uid="{7931752F-AD81-4290-A176-386B07D289CA}"/>
    <cellStyle name="range" xfId="147" xr:uid="{B6871120-F6C0-43D6-9169-BA9C1026E6F5}"/>
    <cellStyle name="RatioX" xfId="148" xr:uid="{5B0CF5B2-0918-42D8-B6FC-B71311999161}"/>
    <cellStyle name="Red font" xfId="199" xr:uid="{CA96E31D-7B1A-4A63-99BC-66A2368CDB36}"/>
    <cellStyle name="Report" xfId="149" xr:uid="{53D403A5-980A-48DF-B235-E5DDA4BE7E94}"/>
    <cellStyle name="Right" xfId="150" xr:uid="{1945E785-A1FA-4F27-A51D-50C3A8E8571C}"/>
    <cellStyle name="SectionHeaderNormal" xfId="200" xr:uid="{C787D562-9741-4823-B84B-B62E9CC4815A}"/>
    <cellStyle name="SectionHeading" xfId="151" xr:uid="{9901D616-F643-49AC-8611-C3D0574B91FE}"/>
    <cellStyle name="Shares" xfId="152" xr:uid="{568BEF0A-9C4C-4AC2-BE96-47D334B328C8}"/>
    <cellStyle name="StockPrice" xfId="153" xr:uid="{C282337B-9C79-497A-847C-52944376EC29}"/>
    <cellStyle name="Style 1" xfId="154" xr:uid="{38666C27-4A6C-4931-81A5-3FDEFF1F70A5}"/>
    <cellStyle name="Style 21" xfId="155" xr:uid="{BC80B5CA-A1AE-4563-84DD-64A97C8A4384}"/>
    <cellStyle name="Style 22" xfId="156" xr:uid="{944AB224-D117-4637-A788-EAC6AA9D11C6}"/>
    <cellStyle name="Style 23" xfId="157" xr:uid="{65E798A3-7843-4FDA-9800-7C44B858AFA9}"/>
    <cellStyle name="Style 24" xfId="158" xr:uid="{8662BBAF-65F7-448A-BE7F-C68001671DE7}"/>
    <cellStyle name="Style 26" xfId="159" xr:uid="{1364509A-944E-4358-9DE5-EADE7FC54C25}"/>
    <cellStyle name="Style 27" xfId="160" xr:uid="{2271B998-29CD-4BFE-BBB6-80608D472A7F}"/>
    <cellStyle name="Style 34" xfId="161" xr:uid="{E0870BE5-06AB-40D0-BB47-A30137FF71B4}"/>
    <cellStyle name="Style 37" xfId="162" xr:uid="{6065AD94-29EE-4AAD-8297-FEFA2B2DBA85}"/>
    <cellStyle name="Style 63" xfId="163" xr:uid="{6CCE6F8F-1682-400B-8589-28C3DC115294}"/>
    <cellStyle name="SubDollar" xfId="164" xr:uid="{252041E3-D518-496E-B31D-0041C5C95460}"/>
    <cellStyle name="SubGrowth" xfId="165" xr:uid="{61F46A7D-27D1-43E5-860D-7F0429B02B2E}"/>
    <cellStyle name="SubGrowthRate" xfId="166" xr:uid="{A9BE10FE-9001-4478-9AC8-E8618B45B8C7}"/>
    <cellStyle name="SubMargins" xfId="167" xr:uid="{42FA2FAA-18EE-4277-B9C4-39DA8CDC64C9}"/>
    <cellStyle name="SubPenetration" xfId="168" xr:uid="{27588EEA-621F-4582-8645-F90B9EE9FADA}"/>
    <cellStyle name="Subscribers" xfId="169" xr:uid="{8E8C9B62-1A7D-4A13-BAAE-DE5BAB01C244}"/>
    <cellStyle name="SubScript" xfId="201" xr:uid="{E8C3F877-B0F5-4329-AF26-5B62BA463A98}"/>
    <cellStyle name="SubVariable" xfId="170" xr:uid="{2DE95879-2B00-461A-AFE6-D88C57238351}"/>
    <cellStyle name="SuperScript" xfId="202" xr:uid="{B5BF7A3E-E58B-44D9-8154-66513D6E7C89}"/>
    <cellStyle name="tcn" xfId="171" xr:uid="{F1338420-E8EB-42E4-B042-FE3E873B740F}"/>
    <cellStyle name="TextBold" xfId="203" xr:uid="{480BB85E-E03D-4EB2-A7F9-95AC14727D08}"/>
    <cellStyle name="TextItalic" xfId="204" xr:uid="{366BDCEC-87C8-407D-BC63-5CFD1DAF71A2}"/>
    <cellStyle name="TextNormal" xfId="205" xr:uid="{F0144D8B-E158-4BA3-AFA7-8786D1609D8D}"/>
    <cellStyle name="Times" xfId="206" xr:uid="{B49BEFC3-410A-4367-B427-4D352D2CC345}"/>
    <cellStyle name="Times [1]" xfId="172" xr:uid="{0135EB79-7288-4AB4-B461-FF0FF4650779}"/>
    <cellStyle name="Times [2]" xfId="173" xr:uid="{9AB5D6F7-F491-4613-9948-EF654F4734A7}"/>
    <cellStyle name="Title 2" xfId="174" xr:uid="{76648D3C-1E1E-4E8E-B31C-538F17FC09FE}"/>
    <cellStyle name="title2" xfId="175" xr:uid="{1BCFC99D-1956-48D9-B3C0-1D9B8515A528}"/>
    <cellStyle name="TitleII" xfId="176" xr:uid="{0568FE12-961F-443B-A883-D14E5522EBEA}"/>
    <cellStyle name="TitleNormal" xfId="207" xr:uid="{86FEB10E-1FD9-4F40-BF0E-1D502405CCE8}"/>
    <cellStyle name="Titles" xfId="177" xr:uid="{4F029A1E-0B78-41AA-98B3-0E13E2920A19}"/>
    <cellStyle name="TitleSub" xfId="178" xr:uid="{864D5571-882F-4A0E-BF0E-E32A282BF23F}"/>
    <cellStyle name="tn" xfId="179" xr:uid="{E72D6AA9-F0FE-49C2-AFFA-9354B61B374E}"/>
    <cellStyle name="Total 2" xfId="180" xr:uid="{66DFF369-BB70-42C1-836C-DD7BE17DCAAF}"/>
    <cellStyle name="Warning Text 2" xfId="181" xr:uid="{2E278FF7-D32D-45FA-9449-426AD24770E9}"/>
    <cellStyle name="WholeNumber" xfId="182" xr:uid="{ADF88D27-C102-4021-9C79-3039D3807F39}"/>
    <cellStyle name="Year&quot;E&quot;" xfId="183" xr:uid="{D9E08384-E304-4F73-9938-C05D0683089C}"/>
    <cellStyle name="Years" xfId="208" xr:uid="{8B02E605-B22D-418F-A9DA-F1EF33E47D63}"/>
  </cellStyles>
  <dxfs count="0"/>
  <tableStyles count="0" defaultTableStyle="TableStyleMedium2" defaultPivotStyle="PivotStyleLight16"/>
  <colors>
    <mruColors>
      <color rgb="FF0000FF"/>
      <color rgb="FF0071CE"/>
      <color rgb="FF008000"/>
      <color rgb="FFC9DA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Equity Valuation Range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DCF!$D$152</c:f>
              <c:strCache>
                <c:ptCount val="1"/>
                <c:pt idx="0">
                  <c:v>Low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b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DCF!$C$153:$C$155</c:f>
              <c:strCache>
                <c:ptCount val="3"/>
                <c:pt idx="0">
                  <c:v>DCF Value at 6.0x-8.0x Exit EBITDA Range at 10.7% WACC</c:v>
                </c:pt>
                <c:pt idx="1">
                  <c:v>DCF Value at 2.0%-4.0% Perpetuity Range at 10.7%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DCF!$D$153:$D$155</c:f>
              <c:numCache>
                <c:formatCode>#,##0.00_);\(#,##0.00\)</c:formatCode>
                <c:ptCount val="3"/>
                <c:pt idx="0">
                  <c:v>575.35575585854679</c:v>
                </c:pt>
                <c:pt idx="1">
                  <c:v>576.13164533586666</c:v>
                </c:pt>
                <c:pt idx="2">
                  <c:v>92.22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D1-44FF-B1D9-9F528732ACFA}"/>
            </c:ext>
          </c:extLst>
        </c:ser>
        <c:ser>
          <c:idx val="1"/>
          <c:order val="1"/>
          <c:tx>
            <c:strRef>
              <c:f>DCF!$E$152</c:f>
              <c:strCache>
                <c:ptCount val="1"/>
                <c:pt idx="0">
                  <c:v>Diff.</c:v>
                </c:pt>
              </c:strCache>
            </c:strRef>
          </c:tx>
          <c:spPr>
            <a:solidFill>
              <a:srgbClr val="0071CE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DCF!$C$153:$C$155</c:f>
              <c:strCache>
                <c:ptCount val="3"/>
                <c:pt idx="0">
                  <c:v>DCF Value at 6.0x-8.0x Exit EBITDA Range at 10.7% WACC</c:v>
                </c:pt>
                <c:pt idx="1">
                  <c:v>DCF Value at 2.0%-4.0% Perpetuity Range at 10.7%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DCF!$E$153:$E$155</c:f>
              <c:numCache>
                <c:formatCode>#,##0.00_);\(#,##0.00\)</c:formatCode>
                <c:ptCount val="3"/>
                <c:pt idx="0">
                  <c:v>126.47672460508397</c:v>
                </c:pt>
                <c:pt idx="1">
                  <c:v>123.69522598873766</c:v>
                </c:pt>
                <c:pt idx="2">
                  <c:v>824.54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D1-44FF-B1D9-9F528732ACFA}"/>
            </c:ext>
          </c:extLst>
        </c:ser>
        <c:ser>
          <c:idx val="2"/>
          <c:order val="2"/>
          <c:tx>
            <c:strRef>
              <c:f>DCF!$F$152</c:f>
              <c:strCache>
                <c:ptCount val="1"/>
                <c:pt idx="0">
                  <c:v>High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DCF!$C$153:$C$155</c:f>
              <c:strCache>
                <c:ptCount val="3"/>
                <c:pt idx="0">
                  <c:v>DCF Value at 6.0x-8.0x Exit EBITDA Range at 10.7% WACC</c:v>
                </c:pt>
                <c:pt idx="1">
                  <c:v>DCF Value at 2.0%-4.0% Perpetuity Range at 10.7%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DCF!$F$153:$F$155</c:f>
              <c:numCache>
                <c:formatCode>#,##0.00_);\(#,##0.00\)</c:formatCode>
                <c:ptCount val="3"/>
                <c:pt idx="0">
                  <c:v>701.83248046363076</c:v>
                </c:pt>
                <c:pt idx="1">
                  <c:v>699.82687132460433</c:v>
                </c:pt>
                <c:pt idx="2">
                  <c:v>916.76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D1-44FF-B1D9-9F528732ACF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71111312"/>
        <c:axId val="971111672"/>
      </c:barChart>
      <c:catAx>
        <c:axId val="971111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111672"/>
        <c:crosses val="autoZero"/>
        <c:auto val="1"/>
        <c:lblAlgn val="ctr"/>
        <c:lblOffset val="100"/>
        <c:tickLblSkip val="1"/>
        <c:noMultiLvlLbl val="0"/>
      </c:catAx>
      <c:valAx>
        <c:axId val="971111672"/>
        <c:scaling>
          <c:orientation val="minMax"/>
          <c:max val="1000"/>
          <c:min val="0"/>
        </c:scaling>
        <c:delete val="0"/>
        <c:axPos val="l"/>
        <c:numFmt formatCode="#,##0.00_);\(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111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22412</xdr:colOff>
      <xdr:row>129</xdr:row>
      <xdr:rowOff>146796</xdr:rowOff>
    </xdr:from>
    <xdr:to>
      <xdr:col>6</xdr:col>
      <xdr:colOff>100853</xdr:colOff>
      <xdr:row>148</xdr:row>
      <xdr:rowOff>168088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EC5750-CC16-469C-9018-646A0E39B6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10EA2F9-C87A-428F-8C53-0B6B7B1B836F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87291d2-af9f-4668-a37c-0b6d5c74219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91CCC-9A0A-44A1-A41A-D012CDF959C1}">
  <sheetPr>
    <pageSetUpPr fitToPage="1"/>
  </sheetPr>
  <dimension ref="A1:T244"/>
  <sheetViews>
    <sheetView tabSelected="1" zoomScale="85" zoomScaleNormal="85" workbookViewId="0">
      <selection activeCell="C12" sqref="C12"/>
    </sheetView>
  </sheetViews>
  <sheetFormatPr defaultColWidth="9.109375" defaultRowHeight="14.4"/>
  <cols>
    <col min="1" max="1" width="1.6640625" style="1" customWidth="1"/>
    <col min="2" max="2" width="50.109375" style="1" customWidth="1"/>
    <col min="3" max="3" width="12.5546875" style="1" bestFit="1" customWidth="1"/>
    <col min="4" max="8" width="12.6640625" style="1" bestFit="1" customWidth="1"/>
    <col min="9" max="10" width="10.44140625" style="1" bestFit="1" customWidth="1"/>
    <col min="11" max="11" width="11" style="1" customWidth="1"/>
    <col min="12" max="16384" width="9.109375" style="1"/>
  </cols>
  <sheetData>
    <row r="1" spans="1:10" ht="15" thickBot="1"/>
    <row r="2" spans="1:10" ht="15" thickBot="1">
      <c r="B2" s="2" t="str">
        <f>"Financial Statement Model for "&amp;C5</f>
        <v>Financial Statement Model for Micron</v>
      </c>
      <c r="C2" s="3"/>
      <c r="D2" s="3"/>
      <c r="E2" s="3"/>
      <c r="F2" s="3"/>
      <c r="G2" s="3"/>
      <c r="H2" s="3"/>
      <c r="I2" s="3"/>
      <c r="J2" s="3"/>
    </row>
    <row r="3" spans="1:10">
      <c r="B3" s="4" t="s">
        <v>155</v>
      </c>
      <c r="D3" s="5"/>
      <c r="E3" s="5"/>
      <c r="F3" s="5"/>
      <c r="G3" s="5"/>
    </row>
    <row r="5" spans="1:10">
      <c r="B5" s="6" t="s">
        <v>0</v>
      </c>
      <c r="C5" s="7" t="s">
        <v>123</v>
      </c>
    </row>
    <row r="6" spans="1:10">
      <c r="B6" s="6" t="s">
        <v>1</v>
      </c>
      <c r="C6" s="7" t="s">
        <v>124</v>
      </c>
    </row>
    <row r="7" spans="1:10">
      <c r="B7" s="1" t="s">
        <v>2</v>
      </c>
      <c r="C7" s="8">
        <v>1</v>
      </c>
    </row>
    <row r="8" spans="1:10">
      <c r="B8" s="1" t="s">
        <v>4</v>
      </c>
      <c r="C8" s="9">
        <v>46168</v>
      </c>
    </row>
    <row r="9" spans="1:10">
      <c r="B9" s="1" t="s">
        <v>3</v>
      </c>
      <c r="C9" s="10">
        <v>895.88</v>
      </c>
    </row>
    <row r="10" spans="1:10">
      <c r="B10" s="6" t="s">
        <v>5</v>
      </c>
      <c r="C10" s="11">
        <v>45897</v>
      </c>
      <c r="F10" s="12"/>
    </row>
    <row r="11" spans="1:10">
      <c r="B11" s="1" t="s">
        <v>6</v>
      </c>
      <c r="C11" s="13">
        <v>1122.4659999999999</v>
      </c>
    </row>
    <row r="12" spans="1:10">
      <c r="B12" s="1" t="s">
        <v>139</v>
      </c>
      <c r="C12" s="13" t="s">
        <v>246</v>
      </c>
    </row>
    <row r="14" spans="1:10">
      <c r="A14" s="1" t="s">
        <v>125</v>
      </c>
      <c r="B14" s="14" t="s">
        <v>7</v>
      </c>
      <c r="C14" s="15"/>
      <c r="D14" s="15"/>
      <c r="E14" s="15"/>
      <c r="F14" s="15"/>
      <c r="G14" s="15"/>
      <c r="H14" s="15"/>
      <c r="I14" s="15"/>
      <c r="J14" s="15"/>
    </row>
    <row r="15" spans="1:10">
      <c r="B15" s="1" t="s">
        <v>8</v>
      </c>
      <c r="C15" s="16">
        <f>D15-1</f>
        <v>2023</v>
      </c>
      <c r="D15" s="16">
        <f>E15-1</f>
        <v>2024</v>
      </c>
      <c r="E15" s="16">
        <v>2025</v>
      </c>
      <c r="F15" s="17">
        <v>2026</v>
      </c>
      <c r="G15" s="17">
        <f>F15+1</f>
        <v>2027</v>
      </c>
      <c r="H15" s="17">
        <f>G15+1</f>
        <v>2028</v>
      </c>
      <c r="I15" s="17">
        <f>H15+1</f>
        <v>2029</v>
      </c>
      <c r="J15" s="17">
        <f>I15+1</f>
        <v>2030</v>
      </c>
    </row>
    <row r="16" spans="1:10">
      <c r="B16" s="18" t="s">
        <v>9</v>
      </c>
      <c r="C16" s="19">
        <f>DATE(2024,8,29)-364</f>
        <v>45169</v>
      </c>
      <c r="D16" s="19">
        <f>DATE(2025,8,28)-364</f>
        <v>45533</v>
      </c>
      <c r="E16" s="19">
        <f>C10</f>
        <v>45897</v>
      </c>
      <c r="F16" s="19">
        <f>DATE(2025,8,28)+364</f>
        <v>46261</v>
      </c>
      <c r="G16" s="19">
        <f>DATE(2026,8,27)+364</f>
        <v>46625</v>
      </c>
      <c r="H16" s="19">
        <f>DATE(2027,8,26)+371</f>
        <v>46996</v>
      </c>
      <c r="I16" s="19">
        <f>DATE(2028,8,31)+364</f>
        <v>47360</v>
      </c>
      <c r="J16" s="19">
        <f>DATE(2029,8,30)+364</f>
        <v>47724</v>
      </c>
    </row>
    <row r="17" spans="2:12">
      <c r="B17" s="20"/>
      <c r="C17" s="21"/>
      <c r="D17" s="22"/>
      <c r="E17" s="22"/>
      <c r="F17" s="23"/>
      <c r="G17" s="24"/>
      <c r="H17" s="24"/>
      <c r="I17" s="22"/>
      <c r="J17" s="22"/>
    </row>
    <row r="18" spans="2:12">
      <c r="B18" s="1" t="s">
        <v>10</v>
      </c>
      <c r="C18" s="25">
        <v>15540</v>
      </c>
      <c r="D18" s="25">
        <v>25111</v>
      </c>
      <c r="E18" s="25">
        <v>37378</v>
      </c>
      <c r="F18" s="26">
        <f ca="1">E18*(1+F39)</f>
        <v>111252.28463999998</v>
      </c>
      <c r="G18" s="26">
        <f t="shared" ref="G18:J18" ca="1" si="0">F18*(1+G39)</f>
        <v>157605.83519999997</v>
      </c>
      <c r="H18" s="26">
        <f t="shared" ca="1" si="0"/>
        <v>158622.89489279999</v>
      </c>
      <c r="I18" s="26">
        <f t="shared" ca="1" si="0"/>
        <v>148708.96396200001</v>
      </c>
      <c r="J18" s="26">
        <f t="shared" ca="1" si="0"/>
        <v>160605.68107896001</v>
      </c>
    </row>
    <row r="19" spans="2:12">
      <c r="B19" s="1" t="s">
        <v>11</v>
      </c>
      <c r="C19" s="25">
        <v>-16956</v>
      </c>
      <c r="D19" s="25">
        <v>-19498</v>
      </c>
      <c r="E19" s="25">
        <v>-22505</v>
      </c>
      <c r="F19" s="26">
        <f ca="1">F20-F18</f>
        <v>-27813.071159999992</v>
      </c>
      <c r="G19" s="26">
        <f t="shared" ref="G19:J19" ca="1" si="1">G20-G18</f>
        <v>-31521.167039999986</v>
      </c>
      <c r="H19" s="26">
        <f t="shared" ca="1" si="1"/>
        <v>-55518.013212479986</v>
      </c>
      <c r="I19" s="26">
        <f t="shared" ca="1" si="1"/>
        <v>-59483.585584800006</v>
      </c>
      <c r="J19" s="26">
        <f t="shared" ca="1" si="1"/>
        <v>-72272.556485531997</v>
      </c>
    </row>
    <row r="20" spans="2:12">
      <c r="B20" s="27" t="s">
        <v>12</v>
      </c>
      <c r="C20" s="28">
        <f t="shared" ref="C20:E20" si="2">SUM(C18:C19)</f>
        <v>-1416</v>
      </c>
      <c r="D20" s="28">
        <f t="shared" si="2"/>
        <v>5613</v>
      </c>
      <c r="E20" s="28">
        <f t="shared" si="2"/>
        <v>14873</v>
      </c>
      <c r="F20" s="28">
        <f ca="1">F18*F40</f>
        <v>83439.213479999991</v>
      </c>
      <c r="G20" s="28">
        <f t="shared" ref="G20:J20" ca="1" si="3">G18*G40</f>
        <v>126084.66815999999</v>
      </c>
      <c r="H20" s="28">
        <f t="shared" ca="1" si="3"/>
        <v>103104.88168032</v>
      </c>
      <c r="I20" s="28">
        <f t="shared" ca="1" si="3"/>
        <v>89225.378377200002</v>
      </c>
      <c r="J20" s="28">
        <f t="shared" ca="1" si="3"/>
        <v>88333.124593428016</v>
      </c>
    </row>
    <row r="21" spans="2:12">
      <c r="B21" s="1" t="s">
        <v>13</v>
      </c>
      <c r="C21" s="25">
        <v>-3114</v>
      </c>
      <c r="D21" s="25">
        <v>-3430</v>
      </c>
      <c r="E21" s="25">
        <v>-3798</v>
      </c>
      <c r="F21" s="26">
        <f ca="1">-F18*F41</f>
        <v>-9790.2010483199974</v>
      </c>
      <c r="G21" s="26">
        <f ca="1">-G18*G41</f>
        <v>-14562.779172479997</v>
      </c>
      <c r="H21" s="26">
        <f t="shared" ref="H21:J21" ca="1" si="4">-H18*H41</f>
        <v>-14593.306330137599</v>
      </c>
      <c r="I21" s="26">
        <f t="shared" ca="1" si="4"/>
        <v>-13681.224684504001</v>
      </c>
      <c r="J21" s="26">
        <f t="shared" ca="1" si="4"/>
        <v>-14775.72265926432</v>
      </c>
    </row>
    <row r="22" spans="2:12">
      <c r="B22" s="1" t="s">
        <v>14</v>
      </c>
      <c r="C22" s="25">
        <v>-920</v>
      </c>
      <c r="D22" s="25">
        <v>-1129</v>
      </c>
      <c r="E22" s="25">
        <v>-1205</v>
      </c>
      <c r="F22" s="26">
        <f ca="1">-(F18*F42)</f>
        <v>-2781.307116</v>
      </c>
      <c r="G22" s="26">
        <f t="shared" ref="G22:J22" ca="1" si="5">-(G18*G42)</f>
        <v>-3940.1458799999996</v>
      </c>
      <c r="H22" s="26">
        <f t="shared" ca="1" si="5"/>
        <v>-3965.5723723199999</v>
      </c>
      <c r="I22" s="26">
        <f t="shared" ca="1" si="5"/>
        <v>-3717.7240990500004</v>
      </c>
      <c r="J22" s="26">
        <f t="shared" ca="1" si="5"/>
        <v>-4015.1420269740006</v>
      </c>
    </row>
    <row r="23" spans="2:12">
      <c r="B23" s="1" t="s">
        <v>137</v>
      </c>
      <c r="C23" s="25">
        <v>-171</v>
      </c>
      <c r="D23" s="25">
        <v>-1</v>
      </c>
      <c r="E23" s="25">
        <v>-39</v>
      </c>
      <c r="F23" s="258">
        <v>0</v>
      </c>
      <c r="G23" s="258">
        <v>0</v>
      </c>
      <c r="H23" s="258">
        <v>0</v>
      </c>
      <c r="I23" s="258">
        <v>0</v>
      </c>
      <c r="J23" s="258">
        <v>0</v>
      </c>
    </row>
    <row r="24" spans="2:12">
      <c r="B24" s="1" t="s">
        <v>138</v>
      </c>
      <c r="C24" s="25">
        <v>-124</v>
      </c>
      <c r="D24" s="25">
        <v>251</v>
      </c>
      <c r="E24" s="25">
        <v>-61</v>
      </c>
      <c r="F24" s="258">
        <v>0</v>
      </c>
      <c r="G24" s="258">
        <v>0</v>
      </c>
      <c r="H24" s="258">
        <v>0</v>
      </c>
      <c r="I24" s="258">
        <v>0</v>
      </c>
      <c r="J24" s="258">
        <v>0</v>
      </c>
    </row>
    <row r="25" spans="2:12">
      <c r="B25" s="27" t="s">
        <v>15</v>
      </c>
      <c r="C25" s="28">
        <f>SUM(C20:C24)</f>
        <v>-5745</v>
      </c>
      <c r="D25" s="28">
        <f t="shared" ref="D25:E25" si="6">SUM(D20:D24)</f>
        <v>1304</v>
      </c>
      <c r="E25" s="28">
        <f t="shared" si="6"/>
        <v>9770</v>
      </c>
      <c r="F25" s="28">
        <f ca="1">SUM(F20:F22)</f>
        <v>70867.705315679996</v>
      </c>
      <c r="G25" s="28">
        <f t="shared" ref="G25" ca="1" si="7">SUM(G20:G22)</f>
        <v>107581.74310751999</v>
      </c>
      <c r="H25" s="28">
        <f t="shared" ref="H25" ca="1" si="8">SUM(H20:H22)</f>
        <v>84546.002977862401</v>
      </c>
      <c r="I25" s="28">
        <f t="shared" ref="I25" ca="1" si="9">SUM(I20:I22)</f>
        <v>71826.429593645997</v>
      </c>
      <c r="J25" s="28">
        <f t="shared" ref="J25" ca="1" si="10">SUM(J20:J22)</f>
        <v>69542.259907189698</v>
      </c>
    </row>
    <row r="26" spans="2:12">
      <c r="B26" s="1" t="s">
        <v>16</v>
      </c>
      <c r="C26" s="25">
        <v>468</v>
      </c>
      <c r="D26" s="25">
        <v>529</v>
      </c>
      <c r="E26" s="25">
        <v>496</v>
      </c>
      <c r="F26" s="26">
        <f ca="1">F170</f>
        <v>938.34291462350768</v>
      </c>
      <c r="G26" s="26">
        <f ca="1">G170</f>
        <v>2719.9101442039673</v>
      </c>
      <c r="H26" s="26">
        <f ca="1">H170</f>
        <v>5350.0992674424824</v>
      </c>
      <c r="I26" s="26">
        <f ca="1">I170</f>
        <v>7916.9963529019724</v>
      </c>
      <c r="J26" s="26">
        <f ca="1">J170</f>
        <v>10406.007284404417</v>
      </c>
    </row>
    <row r="27" spans="2:12">
      <c r="B27" s="1" t="s">
        <v>17</v>
      </c>
      <c r="C27" s="25">
        <v>-388</v>
      </c>
      <c r="D27" s="25">
        <v>-562</v>
      </c>
      <c r="E27" s="25">
        <v>-477</v>
      </c>
      <c r="F27" s="26">
        <f ca="1">-F153</f>
        <v>-619.89249999999993</v>
      </c>
      <c r="G27" s="26">
        <f t="shared" ref="G27:J27" ca="1" si="11">-G153</f>
        <v>-423.39249999999998</v>
      </c>
      <c r="H27" s="26">
        <f t="shared" ca="1" si="11"/>
        <v>-318.39249999999998</v>
      </c>
      <c r="I27" s="26">
        <f t="shared" ca="1" si="11"/>
        <v>-213.39249999999998</v>
      </c>
      <c r="J27" s="26">
        <f t="shared" ca="1" si="11"/>
        <v>-108.3925</v>
      </c>
    </row>
    <row r="28" spans="2:12">
      <c r="B28" s="1" t="s">
        <v>18</v>
      </c>
      <c r="C28" s="25">
        <v>7</v>
      </c>
      <c r="D28" s="25">
        <v>-31</v>
      </c>
      <c r="E28" s="25">
        <v>-135</v>
      </c>
      <c r="F28" s="26">
        <f>E28</f>
        <v>-135</v>
      </c>
      <c r="G28" s="26">
        <f t="shared" ref="G28:J28" si="12">F28</f>
        <v>-135</v>
      </c>
      <c r="H28" s="26">
        <f t="shared" si="12"/>
        <v>-135</v>
      </c>
      <c r="I28" s="26">
        <f t="shared" si="12"/>
        <v>-135</v>
      </c>
      <c r="J28" s="26">
        <f t="shared" si="12"/>
        <v>-135</v>
      </c>
    </row>
    <row r="29" spans="2:12">
      <c r="B29" s="27" t="s">
        <v>19</v>
      </c>
      <c r="C29" s="28">
        <f t="shared" ref="C29:J29" si="13">SUM(C25:C28)</f>
        <v>-5658</v>
      </c>
      <c r="D29" s="28">
        <f t="shared" si="13"/>
        <v>1240</v>
      </c>
      <c r="E29" s="28">
        <f t="shared" si="13"/>
        <v>9654</v>
      </c>
      <c r="F29" s="28">
        <f ca="1">SUM(F25:F28)</f>
        <v>71051.155730303508</v>
      </c>
      <c r="G29" s="28">
        <f t="shared" ca="1" si="13"/>
        <v>109743.26075172395</v>
      </c>
      <c r="H29" s="28">
        <f ca="1">SUM(H25:H28)</f>
        <v>89442.709745304877</v>
      </c>
      <c r="I29" s="28">
        <f t="shared" ca="1" si="13"/>
        <v>79395.033446547968</v>
      </c>
      <c r="J29" s="28">
        <f t="shared" ca="1" si="13"/>
        <v>79704.874691594116</v>
      </c>
      <c r="L29" s="27"/>
    </row>
    <row r="30" spans="2:12">
      <c r="B30" s="1" t="s">
        <v>20</v>
      </c>
      <c r="C30" s="25">
        <v>-177</v>
      </c>
      <c r="D30" s="25">
        <v>-451</v>
      </c>
      <c r="E30" s="25">
        <v>-1124</v>
      </c>
      <c r="F30" s="26">
        <f ca="1">-F29*F44</f>
        <v>-11723.44069550008</v>
      </c>
      <c r="G30" s="26">
        <f t="shared" ref="G30:J30" ca="1" si="14">-G29*G44</f>
        <v>-18107.638024034452</v>
      </c>
      <c r="H30" s="26">
        <f t="shared" ca="1" si="14"/>
        <v>-14758.047107975306</v>
      </c>
      <c r="I30" s="26">
        <f t="shared" ca="1" si="14"/>
        <v>-13100.180518680416</v>
      </c>
      <c r="J30" s="26">
        <f t="shared" ca="1" si="14"/>
        <v>-13151.304324113029</v>
      </c>
    </row>
    <row r="31" spans="2:12">
      <c r="B31" s="27" t="s">
        <v>21</v>
      </c>
      <c r="C31" s="28">
        <f t="shared" ref="C31:J31" si="15">SUM(C29:C30)</f>
        <v>-5835</v>
      </c>
      <c r="D31" s="28">
        <f t="shared" si="15"/>
        <v>789</v>
      </c>
      <c r="E31" s="28">
        <f t="shared" si="15"/>
        <v>8530</v>
      </c>
      <c r="F31" s="28">
        <f t="shared" ca="1" si="15"/>
        <v>59327.715034803427</v>
      </c>
      <c r="G31" s="28">
        <f t="shared" ca="1" si="15"/>
        <v>91635.622727689508</v>
      </c>
      <c r="H31" s="28">
        <f t="shared" ca="1" si="15"/>
        <v>74684.662637329573</v>
      </c>
      <c r="I31" s="28">
        <f t="shared" ca="1" si="15"/>
        <v>66294.852927867556</v>
      </c>
      <c r="J31" s="28">
        <f t="shared" ca="1" si="15"/>
        <v>66553.570367481094</v>
      </c>
    </row>
    <row r="32" spans="2:12">
      <c r="B32" s="29"/>
      <c r="C32" s="30"/>
      <c r="D32" s="30"/>
      <c r="E32" s="30"/>
    </row>
    <row r="33" spans="1:16">
      <c r="B33" s="31" t="s">
        <v>22</v>
      </c>
      <c r="C33" s="25">
        <v>7756</v>
      </c>
      <c r="D33" s="25">
        <v>7780</v>
      </c>
      <c r="E33" s="25">
        <v>8352</v>
      </c>
      <c r="F33" s="26">
        <f ca="1">F117</f>
        <v>16210.648918763278</v>
      </c>
      <c r="G33" s="26">
        <f t="shared" ref="G33:J33" ca="1" si="16">G117</f>
        <v>25851.159473589149</v>
      </c>
      <c r="H33" s="26">
        <f t="shared" ca="1" si="16"/>
        <v>32481.002452159501</v>
      </c>
      <c r="I33" s="26">
        <f t="shared" ca="1" si="16"/>
        <v>36250.021418000753</v>
      </c>
      <c r="J33" s="26">
        <f t="shared" ca="1" si="16"/>
        <v>40043.329514622455</v>
      </c>
    </row>
    <row r="34" spans="1:16">
      <c r="B34" s="32" t="s">
        <v>23</v>
      </c>
      <c r="C34" s="28">
        <f t="shared" ref="C34:J34" si="17">C33+C25</f>
        <v>2011</v>
      </c>
      <c r="D34" s="28">
        <f t="shared" si="17"/>
        <v>9084</v>
      </c>
      <c r="E34" s="28">
        <f t="shared" si="17"/>
        <v>18122</v>
      </c>
      <c r="F34" s="28">
        <f t="shared" ca="1" si="17"/>
        <v>87078.354234443279</v>
      </c>
      <c r="G34" s="28">
        <f t="shared" ca="1" si="17"/>
        <v>133432.90258110914</v>
      </c>
      <c r="H34" s="28">
        <f t="shared" ca="1" si="17"/>
        <v>117027.00543002191</v>
      </c>
      <c r="I34" s="28">
        <f t="shared" ca="1" si="17"/>
        <v>108076.45101164674</v>
      </c>
      <c r="J34" s="28">
        <f t="shared" ca="1" si="17"/>
        <v>109585.58942181215</v>
      </c>
    </row>
    <row r="35" spans="1:16">
      <c r="B35" s="31" t="s">
        <v>24</v>
      </c>
      <c r="C35" s="25">
        <v>596</v>
      </c>
      <c r="D35" s="25">
        <v>833</v>
      </c>
      <c r="E35" s="25">
        <v>972</v>
      </c>
      <c r="F35" s="26">
        <f>E35*(1+F43)</f>
        <v>1069.2</v>
      </c>
      <c r="G35" s="26">
        <f t="shared" ref="G35:J35" si="18">F35*(1+G43)</f>
        <v>1176.1200000000001</v>
      </c>
      <c r="H35" s="26">
        <f t="shared" si="18"/>
        <v>1293.7320000000002</v>
      </c>
      <c r="I35" s="26">
        <f t="shared" si="18"/>
        <v>1423.1052000000004</v>
      </c>
      <c r="J35" s="26">
        <f t="shared" si="18"/>
        <v>1565.4157200000006</v>
      </c>
    </row>
    <row r="36" spans="1:16">
      <c r="B36" s="32" t="s">
        <v>25</v>
      </c>
      <c r="C36" s="28">
        <f t="shared" ref="C36:J36" si="19">SUM(C34:C35)</f>
        <v>2607</v>
      </c>
      <c r="D36" s="28">
        <f t="shared" si="19"/>
        <v>9917</v>
      </c>
      <c r="E36" s="28">
        <f t="shared" si="19"/>
        <v>19094</v>
      </c>
      <c r="F36" s="28">
        <f t="shared" ca="1" si="19"/>
        <v>88147.554234443276</v>
      </c>
      <c r="G36" s="28">
        <f t="shared" ca="1" si="19"/>
        <v>134609.02258110914</v>
      </c>
      <c r="H36" s="28">
        <f t="shared" ca="1" si="19"/>
        <v>118320.73743002191</v>
      </c>
      <c r="I36" s="28">
        <f t="shared" ca="1" si="19"/>
        <v>109499.55621164675</v>
      </c>
      <c r="J36" s="28">
        <f t="shared" ca="1" si="19"/>
        <v>111151.00514181216</v>
      </c>
    </row>
    <row r="37" spans="1:16">
      <c r="B37" s="29"/>
    </row>
    <row r="38" spans="1:16">
      <c r="B38" s="33" t="s">
        <v>26</v>
      </c>
    </row>
    <row r="39" spans="1:16">
      <c r="B39" s="29" t="s">
        <v>27</v>
      </c>
      <c r="C39" s="34"/>
      <c r="D39" s="34">
        <f>D18/C18-1</f>
        <v>0.61589446589446584</v>
      </c>
      <c r="E39" s="34">
        <f>E18/D18-1</f>
        <v>0.48851101111066852</v>
      </c>
      <c r="F39" s="263">
        <f ca="1">F220</f>
        <v>1.9764108470223123</v>
      </c>
      <c r="G39" s="263">
        <f t="shared" ref="G39:J39" ca="1" si="20">G220</f>
        <v>0.41665257221453844</v>
      </c>
      <c r="H39" s="263">
        <f t="shared" ca="1" si="20"/>
        <v>6.4531855150500306E-3</v>
      </c>
      <c r="I39" s="263">
        <f t="shared" ca="1" si="20"/>
        <v>-6.2499999999999889E-2</v>
      </c>
      <c r="J39" s="263">
        <f t="shared" ca="1" si="20"/>
        <v>8.0000000000000071E-2</v>
      </c>
      <c r="M39" s="36"/>
      <c r="N39" s="36"/>
      <c r="O39" s="36"/>
      <c r="P39" s="36"/>
    </row>
    <row r="40" spans="1:16">
      <c r="B40" s="29" t="s">
        <v>28</v>
      </c>
      <c r="C40" s="34">
        <f>C20/C18</f>
        <v>-9.1119691119691121E-2</v>
      </c>
      <c r="D40" s="34">
        <f t="shared" ref="D40" si="21">D20/D18</f>
        <v>0.22352753773246783</v>
      </c>
      <c r="E40" s="34">
        <f>E20/E18</f>
        <v>0.39790786023864305</v>
      </c>
      <c r="F40" s="263">
        <f ca="1">F221</f>
        <v>0.75</v>
      </c>
      <c r="G40" s="263">
        <f t="shared" ref="G40:J40" ca="1" si="22">G221</f>
        <v>0.8</v>
      </c>
      <c r="H40" s="263">
        <f t="shared" ca="1" si="22"/>
        <v>0.65</v>
      </c>
      <c r="I40" s="263">
        <f t="shared" ca="1" si="22"/>
        <v>0.6</v>
      </c>
      <c r="J40" s="263">
        <f t="shared" ca="1" si="22"/>
        <v>0.55000000000000004</v>
      </c>
      <c r="M40" s="36"/>
      <c r="N40" s="36"/>
      <c r="O40" s="36"/>
      <c r="P40" s="36"/>
    </row>
    <row r="41" spans="1:16">
      <c r="B41" s="29" t="s">
        <v>29</v>
      </c>
      <c r="C41" s="34">
        <f>-(C21/C18)</f>
        <v>0.20038610038610039</v>
      </c>
      <c r="D41" s="34">
        <f t="shared" ref="D41:E41" si="23">-(D21/D18)</f>
        <v>0.13659352475010952</v>
      </c>
      <c r="E41" s="34">
        <f t="shared" si="23"/>
        <v>0.10161057306436941</v>
      </c>
      <c r="F41" s="263">
        <f ca="1">F222</f>
        <v>8.7999999999999995E-2</v>
      </c>
      <c r="G41" s="263">
        <f t="shared" ref="G41:J41" ca="1" si="24">G222</f>
        <v>9.2399999999999996E-2</v>
      </c>
      <c r="H41" s="263">
        <f t="shared" ca="1" si="24"/>
        <v>9.1999999999999998E-2</v>
      </c>
      <c r="I41" s="263">
        <f t="shared" ca="1" si="24"/>
        <v>9.1999999999999998E-2</v>
      </c>
      <c r="J41" s="263">
        <f t="shared" ca="1" si="24"/>
        <v>9.1999999999999998E-2</v>
      </c>
      <c r="M41" s="36"/>
      <c r="N41" s="36"/>
      <c r="O41" s="36"/>
      <c r="P41" s="36"/>
    </row>
    <row r="42" spans="1:16">
      <c r="B42" s="29" t="s">
        <v>30</v>
      </c>
      <c r="C42" s="34">
        <f>-(C22/C18)</f>
        <v>5.9202059202059204E-2</v>
      </c>
      <c r="D42" s="34">
        <f t="shared" ref="D42:E42" si="25">-(D22/D18)</f>
        <v>4.496037593086695E-2</v>
      </c>
      <c r="E42" s="34">
        <f t="shared" si="25"/>
        <v>3.2238214992776501E-2</v>
      </c>
      <c r="F42" s="263">
        <f ca="1">F223</f>
        <v>2.5000000000000001E-2</v>
      </c>
      <c r="G42" s="263">
        <f t="shared" ref="G42:J42" ca="1" si="26">G223</f>
        <v>2.5000000000000001E-2</v>
      </c>
      <c r="H42" s="263">
        <f t="shared" ca="1" si="26"/>
        <v>2.5000000000000001E-2</v>
      </c>
      <c r="I42" s="263">
        <f t="shared" ca="1" si="26"/>
        <v>2.5000000000000001E-2</v>
      </c>
      <c r="J42" s="263">
        <f t="shared" ca="1" si="26"/>
        <v>2.5000000000000001E-2</v>
      </c>
      <c r="M42" s="36"/>
      <c r="N42" s="36"/>
      <c r="O42" s="36"/>
      <c r="P42" s="36"/>
    </row>
    <row r="43" spans="1:16">
      <c r="B43" s="29" t="s">
        <v>160</v>
      </c>
      <c r="C43" s="34"/>
      <c r="D43" s="34">
        <f>(D35/C35)-1</f>
        <v>0.3976510067114094</v>
      </c>
      <c r="E43" s="34">
        <f>(E35/D35)-1</f>
        <v>0.16686674669867951</v>
      </c>
      <c r="F43" s="35">
        <v>0.1</v>
      </c>
      <c r="G43" s="35">
        <v>0.1</v>
      </c>
      <c r="H43" s="35">
        <v>0.1</v>
      </c>
      <c r="I43" s="35">
        <v>0.1</v>
      </c>
      <c r="J43" s="35">
        <v>0.1</v>
      </c>
      <c r="M43" s="36"/>
      <c r="N43" s="36"/>
      <c r="O43" s="36"/>
      <c r="P43" s="36"/>
    </row>
    <row r="44" spans="1:16">
      <c r="B44" s="29" t="s">
        <v>31</v>
      </c>
      <c r="C44" s="37" t="s">
        <v>156</v>
      </c>
      <c r="D44" s="34">
        <f>-D30/D29</f>
        <v>0.36370967741935484</v>
      </c>
      <c r="E44" s="34">
        <f>-E30/E29</f>
        <v>0.1164284234514191</v>
      </c>
      <c r="F44" s="35">
        <v>0.16500000000000001</v>
      </c>
      <c r="G44" s="35">
        <v>0.16500000000000001</v>
      </c>
      <c r="H44" s="35">
        <v>0.16500000000000001</v>
      </c>
      <c r="I44" s="35">
        <v>0.16500000000000001</v>
      </c>
      <c r="J44" s="35">
        <v>0.16500000000000001</v>
      </c>
      <c r="M44" s="36"/>
      <c r="N44" s="36"/>
      <c r="O44" s="36"/>
      <c r="P44" s="36"/>
    </row>
    <row r="45" spans="1:16">
      <c r="B45" s="29"/>
      <c r="F45" s="38"/>
    </row>
    <row r="46" spans="1:16">
      <c r="A46" s="1" t="s">
        <v>125</v>
      </c>
      <c r="B46" s="14" t="s">
        <v>32</v>
      </c>
      <c r="C46" s="39"/>
      <c r="D46" s="39"/>
      <c r="E46" s="39"/>
      <c r="F46" s="15"/>
      <c r="G46" s="15"/>
      <c r="H46" s="15"/>
      <c r="I46" s="15"/>
      <c r="J46" s="15"/>
    </row>
    <row r="47" spans="1:16">
      <c r="B47" s="40" t="s">
        <v>8</v>
      </c>
      <c r="C47" s="41"/>
      <c r="D47" s="41">
        <f>E47-1</f>
        <v>2024</v>
      </c>
      <c r="E47" s="41">
        <v>2025</v>
      </c>
      <c r="F47" s="42">
        <v>2026</v>
      </c>
      <c r="G47" s="42">
        <f>F47+1</f>
        <v>2027</v>
      </c>
      <c r="H47" s="42">
        <f>G47+1</f>
        <v>2028</v>
      </c>
      <c r="I47" s="42">
        <f>H47+1</f>
        <v>2029</v>
      </c>
      <c r="J47" s="42">
        <f>I47+1</f>
        <v>2030</v>
      </c>
    </row>
    <row r="48" spans="1:16">
      <c r="B48" s="15" t="s">
        <v>9</v>
      </c>
      <c r="C48" s="43"/>
      <c r="D48" s="43">
        <f>DATE(2025,8,28)-364</f>
        <v>45533</v>
      </c>
      <c r="E48" s="43">
        <f>C10</f>
        <v>45897</v>
      </c>
      <c r="F48" s="43">
        <f>DATE(2025,8,28)+364</f>
        <v>46261</v>
      </c>
      <c r="G48" s="43">
        <f>DATE(2026,8,27)+364</f>
        <v>46625</v>
      </c>
      <c r="H48" s="43">
        <f>DATE(2027,8,26)+371</f>
        <v>46996</v>
      </c>
      <c r="I48" s="43">
        <f>DATE(2028,8,31)+364</f>
        <v>47360</v>
      </c>
      <c r="J48" s="43">
        <f>DATE(2029,8,30)+364</f>
        <v>47724</v>
      </c>
    </row>
    <row r="49" spans="2:10">
      <c r="B49" s="1" t="s">
        <v>33</v>
      </c>
      <c r="C49" s="25"/>
      <c r="D49" s="26">
        <f>7041+1065+1046</f>
        <v>9152</v>
      </c>
      <c r="E49" s="26">
        <f>9642+665+1629</f>
        <v>11936</v>
      </c>
      <c r="F49" s="26">
        <f ca="1">E49+F101</f>
        <v>34981.145731175384</v>
      </c>
      <c r="G49" s="26">
        <f ca="1">F49+G101</f>
        <v>101014.36147902298</v>
      </c>
      <c r="H49" s="26">
        <f ca="1">G49+H101</f>
        <v>166490.60189310118</v>
      </c>
      <c r="I49" s="26">
        <f ca="1">H49+I101</f>
        <v>229359.21575199743</v>
      </c>
      <c r="J49" s="26">
        <f ca="1">I49+J101</f>
        <v>290941.14846822346</v>
      </c>
    </row>
    <row r="50" spans="2:10">
      <c r="B50" s="1" t="s">
        <v>34</v>
      </c>
      <c r="C50" s="25"/>
      <c r="D50" s="25">
        <v>6615</v>
      </c>
      <c r="E50" s="25">
        <v>9265</v>
      </c>
      <c r="F50" s="26">
        <f ca="1">E50*(1+F39)</f>
        <v>27576.446497661724</v>
      </c>
      <c r="G50" s="26">
        <f t="shared" ref="G50:J50" ca="1" si="27">F50*(1+G39)</f>
        <v>39066.243863449083</v>
      </c>
      <c r="H50" s="26">
        <f t="shared" ca="1" si="27"/>
        <v>39318.345582476104</v>
      </c>
      <c r="I50" s="26">
        <f t="shared" ca="1" si="27"/>
        <v>36860.948983571354</v>
      </c>
      <c r="J50" s="26">
        <f t="shared" ca="1" si="27"/>
        <v>39809.824902257067</v>
      </c>
    </row>
    <row r="51" spans="2:10">
      <c r="B51" s="1" t="s">
        <v>35</v>
      </c>
      <c r="C51" s="25"/>
      <c r="D51" s="25">
        <v>8875</v>
      </c>
      <c r="E51" s="25">
        <v>8355</v>
      </c>
      <c r="F51" s="26">
        <f ca="1">(E51)*(F19/E19)</f>
        <v>10325.625840559873</v>
      </c>
      <c r="G51" s="26">
        <f t="shared" ref="G51:J51" ca="1" si="28">(F51)*(G19/F19)</f>
        <v>11702.25952540324</v>
      </c>
      <c r="H51" s="26">
        <f t="shared" ca="1" si="28"/>
        <v>20611.108659865378</v>
      </c>
      <c r="I51" s="26">
        <f t="shared" ca="1" si="28"/>
        <v>22083.330706998629</v>
      </c>
      <c r="J51" s="26">
        <f t="shared" ca="1" si="28"/>
        <v>26831.246809003333</v>
      </c>
    </row>
    <row r="52" spans="2:10">
      <c r="B52" s="1" t="s">
        <v>36</v>
      </c>
      <c r="C52" s="25"/>
      <c r="D52" s="25">
        <v>776</v>
      </c>
      <c r="E52" s="25">
        <v>914</v>
      </c>
      <c r="F52" s="26">
        <f ca="1">E52*(1+F39)</f>
        <v>2720.4395141783934</v>
      </c>
      <c r="G52" s="26">
        <f t="shared" ref="G52:J52" ca="1" si="29">F52*(1+G39)</f>
        <v>3853.9176353148905</v>
      </c>
      <c r="H52" s="26">
        <f t="shared" ca="1" si="29"/>
        <v>3878.7876807753005</v>
      </c>
      <c r="I52" s="26">
        <f t="shared" ca="1" si="29"/>
        <v>3636.3634507268448</v>
      </c>
      <c r="J52" s="26">
        <f t="shared" ca="1" si="29"/>
        <v>3927.2725267849928</v>
      </c>
    </row>
    <row r="53" spans="2:10">
      <c r="B53" s="1" t="s">
        <v>37</v>
      </c>
      <c r="C53" s="25"/>
      <c r="D53" s="25">
        <v>39749</v>
      </c>
      <c r="E53" s="25">
        <v>46590</v>
      </c>
      <c r="F53" s="26">
        <f>F110</f>
        <v>56546.229508196724</v>
      </c>
      <c r="G53" s="26">
        <f t="shared" ref="G53:J53" si="30">G110</f>
        <v>66911.778058007578</v>
      </c>
      <c r="H53" s="26">
        <f t="shared" si="30"/>
        <v>74629.054224464082</v>
      </c>
      <c r="I53" s="26">
        <f t="shared" si="30"/>
        <v>78546.330390920572</v>
      </c>
      <c r="J53" s="26">
        <f t="shared" si="30"/>
        <v>78663.606557377076</v>
      </c>
    </row>
    <row r="54" spans="2:10">
      <c r="B54" s="1" t="s">
        <v>127</v>
      </c>
      <c r="C54" s="25"/>
      <c r="D54" s="25">
        <v>645</v>
      </c>
      <c r="E54" s="25">
        <v>736</v>
      </c>
      <c r="F54" s="26">
        <f>$E$54</f>
        <v>736</v>
      </c>
      <c r="G54" s="26">
        <f t="shared" ref="G54:J55" si="31">F54</f>
        <v>736</v>
      </c>
      <c r="H54" s="26">
        <f t="shared" si="31"/>
        <v>736</v>
      </c>
      <c r="I54" s="26">
        <f t="shared" si="31"/>
        <v>736</v>
      </c>
      <c r="J54" s="26">
        <f t="shared" si="31"/>
        <v>736</v>
      </c>
    </row>
    <row r="55" spans="2:10">
      <c r="B55" s="1" t="s">
        <v>128</v>
      </c>
      <c r="C55" s="25"/>
      <c r="D55" s="25">
        <v>416</v>
      </c>
      <c r="E55" s="25">
        <v>453</v>
      </c>
      <c r="F55" s="26">
        <f>E55</f>
        <v>453</v>
      </c>
      <c r="G55" s="26">
        <f t="shared" si="31"/>
        <v>453</v>
      </c>
      <c r="H55" s="26">
        <f t="shared" si="31"/>
        <v>453</v>
      </c>
      <c r="I55" s="26">
        <f t="shared" si="31"/>
        <v>453</v>
      </c>
      <c r="J55" s="26">
        <f t="shared" si="31"/>
        <v>453</v>
      </c>
    </row>
    <row r="56" spans="2:10">
      <c r="B56" s="1" t="s">
        <v>129</v>
      </c>
      <c r="C56" s="25"/>
      <c r="D56" s="25">
        <v>520</v>
      </c>
      <c r="E56" s="25">
        <v>616</v>
      </c>
      <c r="F56" s="26">
        <f>E56</f>
        <v>616</v>
      </c>
      <c r="G56" s="26">
        <f t="shared" ref="G56:J56" si="32">F56</f>
        <v>616</v>
      </c>
      <c r="H56" s="26">
        <f t="shared" si="32"/>
        <v>616</v>
      </c>
      <c r="I56" s="26">
        <f t="shared" si="32"/>
        <v>616</v>
      </c>
      <c r="J56" s="26">
        <f t="shared" si="32"/>
        <v>616</v>
      </c>
    </row>
    <row r="57" spans="2:10">
      <c r="B57" s="1" t="s">
        <v>130</v>
      </c>
      <c r="C57" s="25"/>
      <c r="D57" s="25">
        <v>1150</v>
      </c>
      <c r="E57" s="25">
        <v>1150</v>
      </c>
      <c r="F57" s="26">
        <f>E57</f>
        <v>1150</v>
      </c>
      <c r="G57" s="26">
        <f t="shared" ref="G57:J57" si="33">F57</f>
        <v>1150</v>
      </c>
      <c r="H57" s="26">
        <f t="shared" si="33"/>
        <v>1150</v>
      </c>
      <c r="I57" s="26">
        <f t="shared" si="33"/>
        <v>1150</v>
      </c>
      <c r="J57" s="26">
        <f t="shared" si="33"/>
        <v>1150</v>
      </c>
    </row>
    <row r="58" spans="2:10">
      <c r="B58" s="1" t="s">
        <v>38</v>
      </c>
      <c r="C58" s="25"/>
      <c r="D58" s="25">
        <v>1518</v>
      </c>
      <c r="E58" s="25">
        <v>2783</v>
      </c>
      <c r="F58" s="26">
        <f ca="1">E58*(1+F39)</f>
        <v>8283.3513872630956</v>
      </c>
      <c r="G58" s="26">
        <f t="shared" ref="G58:J58" ca="1" si="34">F58*(1+G39)</f>
        <v>11734.63104932313</v>
      </c>
      <c r="H58" s="26">
        <f t="shared" ca="1" si="34"/>
        <v>11810.356800435078</v>
      </c>
      <c r="I58" s="26">
        <f t="shared" ca="1" si="34"/>
        <v>11072.209500407887</v>
      </c>
      <c r="J58" s="26">
        <f t="shared" ca="1" si="34"/>
        <v>11957.986260440519</v>
      </c>
    </row>
    <row r="59" spans="2:10">
      <c r="B59" s="32" t="s">
        <v>39</v>
      </c>
      <c r="C59" s="28"/>
      <c r="D59" s="28">
        <f>SUM(D49:D58)</f>
        <v>69416</v>
      </c>
      <c r="E59" s="28">
        <f>SUM(E49:E58)</f>
        <v>82798</v>
      </c>
      <c r="F59" s="28">
        <f ca="1">SUM(F49:F58)</f>
        <v>143388.23847903521</v>
      </c>
      <c r="G59" s="28">
        <f t="shared" ref="G59:J59" ca="1" si="35">SUM(G49:G58)</f>
        <v>237238.19161052088</v>
      </c>
      <c r="H59" s="28">
        <f t="shared" ca="1" si="35"/>
        <v>319693.25484111713</v>
      </c>
      <c r="I59" s="28">
        <f t="shared" ca="1" si="35"/>
        <v>384513.39878462278</v>
      </c>
      <c r="J59" s="28">
        <f t="shared" ca="1" si="35"/>
        <v>455086.08552408643</v>
      </c>
    </row>
    <row r="60" spans="2:10">
      <c r="B60" s="31"/>
      <c r="C60" s="30"/>
      <c r="D60" s="30"/>
      <c r="E60" s="30"/>
    </row>
    <row r="61" spans="2:10">
      <c r="B61" s="31" t="s">
        <v>40</v>
      </c>
      <c r="C61" s="25"/>
      <c r="D61" s="25">
        <v>7299</v>
      </c>
      <c r="E61" s="25">
        <v>9649</v>
      </c>
      <c r="F61" s="26">
        <f ca="1">E61*(F19/E19)</f>
        <v>11924.83108744012</v>
      </c>
      <c r="G61" s="26">
        <f t="shared" ref="G61:J61" ca="1" si="36">F61*(G19/F19)</f>
        <v>13514.674106596749</v>
      </c>
      <c r="H61" s="26">
        <f t="shared" ca="1" si="36"/>
        <v>23803.301910118611</v>
      </c>
      <c r="I61" s="26">
        <f t="shared" ca="1" si="36"/>
        <v>25503.53776084138</v>
      </c>
      <c r="J61" s="26">
        <f t="shared" ca="1" si="36"/>
        <v>30986.798379422275</v>
      </c>
    </row>
    <row r="62" spans="2:10">
      <c r="B62" s="31" t="s">
        <v>41</v>
      </c>
      <c r="C62" s="25"/>
      <c r="D62" s="25">
        <v>1518</v>
      </c>
      <c r="E62" s="25">
        <v>1245</v>
      </c>
      <c r="F62" s="26">
        <f ca="1">E62*(1+F39)</f>
        <v>3705.6315045427787</v>
      </c>
      <c r="G62" s="26">
        <f ca="1">F62*(1+G39)</f>
        <v>5249.5924025897575</v>
      </c>
      <c r="H62" s="26">
        <f ca="1">G62*(1+H39)</f>
        <v>5283.4689962420662</v>
      </c>
      <c r="I62" s="26">
        <f ca="1">H62*(1+I39)</f>
        <v>4953.2521839769379</v>
      </c>
      <c r="J62" s="26">
        <f ca="1">I62*(1+J39)</f>
        <v>5349.5123586950931</v>
      </c>
    </row>
    <row r="63" spans="2:10">
      <c r="B63" s="31" t="s">
        <v>42</v>
      </c>
      <c r="C63" s="25"/>
      <c r="D63" s="25">
        <v>431</v>
      </c>
      <c r="E63" s="25">
        <v>560</v>
      </c>
      <c r="F63" s="26">
        <f ca="1">F146</f>
        <v>50</v>
      </c>
      <c r="G63" s="26">
        <f t="shared" ref="G63:H63" ca="1" si="37">G146</f>
        <v>50</v>
      </c>
      <c r="H63" s="26">
        <f t="shared" ca="1" si="37"/>
        <v>50</v>
      </c>
      <c r="I63" s="26">
        <f ca="1">I146</f>
        <v>50</v>
      </c>
      <c r="J63" s="26">
        <f ca="1">J146</f>
        <v>50</v>
      </c>
    </row>
    <row r="64" spans="2:10">
      <c r="B64" s="31" t="s">
        <v>43</v>
      </c>
      <c r="C64" s="25"/>
      <c r="D64" s="25">
        <v>12966</v>
      </c>
      <c r="E64" s="25">
        <v>14017</v>
      </c>
      <c r="F64" s="26">
        <f>F163</f>
        <v>9017</v>
      </c>
      <c r="G64" s="26">
        <f t="shared" ref="G64:J64" si="38">G163</f>
        <v>7017</v>
      </c>
      <c r="H64" s="26">
        <f t="shared" si="38"/>
        <v>5017</v>
      </c>
      <c r="I64" s="26">
        <f t="shared" si="38"/>
        <v>3017</v>
      </c>
      <c r="J64" s="26">
        <f t="shared" si="38"/>
        <v>1017</v>
      </c>
    </row>
    <row r="65" spans="1:10">
      <c r="B65" s="31" t="s">
        <v>132</v>
      </c>
      <c r="C65" s="25"/>
      <c r="D65" s="25">
        <v>610</v>
      </c>
      <c r="E65" s="25">
        <v>701</v>
      </c>
      <c r="F65" s="26">
        <f>E65</f>
        <v>701</v>
      </c>
      <c r="G65" s="26">
        <f t="shared" ref="G65:J65" si="39">F65</f>
        <v>701</v>
      </c>
      <c r="H65" s="26">
        <f t="shared" si="39"/>
        <v>701</v>
      </c>
      <c r="I65" s="26">
        <f t="shared" si="39"/>
        <v>701</v>
      </c>
      <c r="J65" s="26">
        <f t="shared" si="39"/>
        <v>701</v>
      </c>
    </row>
    <row r="66" spans="1:10">
      <c r="B66" s="31" t="s">
        <v>131</v>
      </c>
      <c r="C66" s="25"/>
      <c r="D66" s="25">
        <v>550</v>
      </c>
      <c r="E66" s="25">
        <v>1018</v>
      </c>
      <c r="F66" s="26">
        <f>E66</f>
        <v>1018</v>
      </c>
      <c r="G66" s="26">
        <f t="shared" ref="G66:J66" si="40">F66</f>
        <v>1018</v>
      </c>
      <c r="H66" s="26">
        <f t="shared" si="40"/>
        <v>1018</v>
      </c>
      <c r="I66" s="26">
        <f t="shared" si="40"/>
        <v>1018</v>
      </c>
      <c r="J66" s="26">
        <f t="shared" si="40"/>
        <v>1018</v>
      </c>
    </row>
    <row r="67" spans="1:10">
      <c r="B67" s="31" t="s">
        <v>44</v>
      </c>
      <c r="C67" s="25"/>
      <c r="D67" s="25">
        <v>911</v>
      </c>
      <c r="E67" s="25">
        <v>1443</v>
      </c>
      <c r="F67" s="26">
        <f ca="1">E67*(1+F39)</f>
        <v>4294.9608522531962</v>
      </c>
      <c r="G67" s="26">
        <f ca="1">F67*(1+G39)</f>
        <v>6084.4673389052368</v>
      </c>
      <c r="H67" s="26">
        <f ca="1">G67*(1+H39)</f>
        <v>6123.7315354034554</v>
      </c>
      <c r="I67" s="26">
        <f ca="1">H67*(1+I39)</f>
        <v>5740.9983144407397</v>
      </c>
      <c r="J67" s="26">
        <f ca="1">I67*(1+J39)</f>
        <v>6200.2781795959991</v>
      </c>
    </row>
    <row r="68" spans="1:10">
      <c r="B68" s="32" t="s">
        <v>45</v>
      </c>
      <c r="C68" s="28"/>
      <c r="D68" s="28">
        <f t="shared" ref="D68:J68" si="41">SUM(D61:D67)</f>
        <v>24285</v>
      </c>
      <c r="E68" s="28">
        <f t="shared" si="41"/>
        <v>28633</v>
      </c>
      <c r="F68" s="28">
        <f t="shared" ca="1" si="41"/>
        <v>30711.423444236094</v>
      </c>
      <c r="G68" s="28">
        <f t="shared" ca="1" si="41"/>
        <v>33634.733848091739</v>
      </c>
      <c r="H68" s="28">
        <f t="shared" ca="1" si="41"/>
        <v>41996.502441764133</v>
      </c>
      <c r="I68" s="28">
        <f t="shared" ca="1" si="41"/>
        <v>40983.788259259054</v>
      </c>
      <c r="J68" s="28">
        <f t="shared" ca="1" si="41"/>
        <v>45322.588917713365</v>
      </c>
    </row>
    <row r="69" spans="1:10">
      <c r="B69" s="32"/>
      <c r="C69" s="28"/>
      <c r="D69" s="28"/>
      <c r="E69" s="28"/>
    </row>
    <row r="70" spans="1:10">
      <c r="B70" s="31" t="s">
        <v>46</v>
      </c>
      <c r="C70" s="25"/>
      <c r="D70" s="25">
        <v>125</v>
      </c>
      <c r="E70" s="25">
        <v>127</v>
      </c>
      <c r="F70" s="26">
        <f>E70</f>
        <v>127</v>
      </c>
      <c r="G70" s="26">
        <f t="shared" ref="G70:J70" si="42">F70</f>
        <v>127</v>
      </c>
      <c r="H70" s="26">
        <f t="shared" si="42"/>
        <v>127</v>
      </c>
      <c r="I70" s="26">
        <f t="shared" si="42"/>
        <v>127</v>
      </c>
      <c r="J70" s="26">
        <f t="shared" si="42"/>
        <v>127</v>
      </c>
    </row>
    <row r="71" spans="1:10">
      <c r="B71" s="31" t="s">
        <v>135</v>
      </c>
      <c r="C71" s="25"/>
      <c r="D71" s="25">
        <v>12115</v>
      </c>
      <c r="E71" s="25">
        <v>13339</v>
      </c>
      <c r="F71" s="26">
        <f>E71+F35</f>
        <v>14408.2</v>
      </c>
      <c r="G71" s="26">
        <f t="shared" ref="G71:J71" si="43">F71+G35</f>
        <v>15584.320000000002</v>
      </c>
      <c r="H71" s="26">
        <f t="shared" si="43"/>
        <v>16878.052000000003</v>
      </c>
      <c r="I71" s="26">
        <f t="shared" si="43"/>
        <v>18301.157200000005</v>
      </c>
      <c r="J71" s="26">
        <f t="shared" si="43"/>
        <v>19866.572920000006</v>
      </c>
    </row>
    <row r="72" spans="1:10">
      <c r="B72" s="31" t="s">
        <v>47</v>
      </c>
      <c r="C72" s="26"/>
      <c r="D72" s="25">
        <v>40877</v>
      </c>
      <c r="E72" s="25">
        <v>48583</v>
      </c>
      <c r="F72" s="26">
        <f ca="1">F130</f>
        <v>106025.61503479909</v>
      </c>
      <c r="G72" s="26">
        <f t="shared" ref="G72:J72" ca="1" si="44">G130</f>
        <v>195776.13776242913</v>
      </c>
      <c r="H72" s="26">
        <f t="shared" ca="1" si="44"/>
        <v>268575.70039909333</v>
      </c>
      <c r="I72" s="26">
        <f t="shared" ca="1" si="44"/>
        <v>332985.45332206384</v>
      </c>
      <c r="J72" s="26">
        <f t="shared" ca="1" si="44"/>
        <v>397653.92364982853</v>
      </c>
    </row>
    <row r="73" spans="1:10">
      <c r="B73" s="31" t="s">
        <v>136</v>
      </c>
      <c r="C73" s="26"/>
      <c r="D73" s="25">
        <v>-7852</v>
      </c>
      <c r="E73" s="25">
        <v>-7852</v>
      </c>
      <c r="F73" s="25">
        <v>-7852</v>
      </c>
      <c r="G73" s="25">
        <v>-7852</v>
      </c>
      <c r="H73" s="25">
        <v>-7852</v>
      </c>
      <c r="I73" s="25">
        <v>-7852</v>
      </c>
      <c r="J73" s="25">
        <v>-7852</v>
      </c>
    </row>
    <row r="74" spans="1:10">
      <c r="B74" s="31" t="s">
        <v>48</v>
      </c>
      <c r="C74" s="25"/>
      <c r="D74" s="25">
        <v>-134</v>
      </c>
      <c r="E74" s="25">
        <v>-32</v>
      </c>
      <c r="F74" s="26">
        <f>E74</f>
        <v>-32</v>
      </c>
      <c r="G74" s="26">
        <f t="shared" ref="G74:J74" si="45">F74</f>
        <v>-32</v>
      </c>
      <c r="H74" s="26">
        <f t="shared" si="45"/>
        <v>-32</v>
      </c>
      <c r="I74" s="26">
        <f t="shared" si="45"/>
        <v>-32</v>
      </c>
      <c r="J74" s="26">
        <f t="shared" si="45"/>
        <v>-32</v>
      </c>
    </row>
    <row r="75" spans="1:10">
      <c r="B75" s="32" t="s">
        <v>49</v>
      </c>
      <c r="C75" s="44"/>
      <c r="D75" s="45">
        <f t="shared" ref="D75:J75" si="46">SUM(D70:D74)</f>
        <v>45131</v>
      </c>
      <c r="E75" s="45">
        <f t="shared" si="46"/>
        <v>54165</v>
      </c>
      <c r="F75" s="45">
        <f t="shared" ca="1" si="46"/>
        <v>112676.81503479909</v>
      </c>
      <c r="G75" s="45">
        <f t="shared" ca="1" si="46"/>
        <v>203603.45776242914</v>
      </c>
      <c r="H75" s="45">
        <f t="shared" ca="1" si="46"/>
        <v>277696.75239909336</v>
      </c>
      <c r="I75" s="45">
        <f t="shared" ca="1" si="46"/>
        <v>343529.61052206386</v>
      </c>
      <c r="J75" s="45">
        <f t="shared" ca="1" si="46"/>
        <v>409763.49656982854</v>
      </c>
    </row>
    <row r="76" spans="1:10">
      <c r="C76" s="30"/>
      <c r="D76" s="30"/>
      <c r="E76" s="30"/>
    </row>
    <row r="77" spans="1:10">
      <c r="B77" s="20" t="s">
        <v>50</v>
      </c>
      <c r="C77" s="46"/>
      <c r="D77" s="46">
        <f t="shared" ref="D77:J77" si="47">D59-D68-D75</f>
        <v>0</v>
      </c>
      <c r="E77" s="46">
        <f t="shared" si="47"/>
        <v>0</v>
      </c>
      <c r="F77" s="46">
        <f t="shared" ca="1" si="47"/>
        <v>0</v>
      </c>
      <c r="G77" s="46">
        <f t="shared" ca="1" si="47"/>
        <v>0</v>
      </c>
      <c r="H77" s="46">
        <f t="shared" ca="1" si="47"/>
        <v>2.596643753349781E-7</v>
      </c>
      <c r="I77" s="46">
        <f t="shared" ca="1" si="47"/>
        <v>3.2998505048453808E-6</v>
      </c>
      <c r="J77" s="46">
        <f t="shared" ca="1" si="47"/>
        <v>3.6544515751302242E-5</v>
      </c>
    </row>
    <row r="78" spans="1:10">
      <c r="D78" s="30"/>
      <c r="E78" s="30"/>
      <c r="G78" s="30"/>
      <c r="H78" s="30"/>
      <c r="I78" s="30"/>
      <c r="J78" s="30"/>
    </row>
    <row r="79" spans="1:10">
      <c r="A79" s="1" t="s">
        <v>125</v>
      </c>
      <c r="B79" s="14" t="s">
        <v>51</v>
      </c>
      <c r="C79" s="39"/>
      <c r="D79" s="39"/>
      <c r="E79" s="39"/>
      <c r="F79" s="39"/>
      <c r="G79" s="39"/>
      <c r="H79" s="39"/>
      <c r="I79" s="39"/>
      <c r="J79" s="39"/>
    </row>
    <row r="80" spans="1:10">
      <c r="B80" s="40" t="s">
        <v>8</v>
      </c>
      <c r="C80" s="41"/>
      <c r="D80" s="41"/>
      <c r="E80" s="41"/>
      <c r="F80" s="42">
        <v>2026</v>
      </c>
      <c r="G80" s="42">
        <f>F80+1</f>
        <v>2027</v>
      </c>
      <c r="H80" s="42">
        <f>G80+1</f>
        <v>2028</v>
      </c>
      <c r="I80" s="42">
        <f>H80+1</f>
        <v>2029</v>
      </c>
      <c r="J80" s="42">
        <f>I80+1</f>
        <v>2030</v>
      </c>
    </row>
    <row r="81" spans="2:10">
      <c r="B81" s="15" t="s">
        <v>9</v>
      </c>
      <c r="C81" s="43"/>
      <c r="D81" s="43"/>
      <c r="E81" s="43"/>
      <c r="F81" s="43">
        <f>DATE(2025,8,28)+364</f>
        <v>46261</v>
      </c>
      <c r="G81" s="43">
        <f>DATE(2026,8,27)+364</f>
        <v>46625</v>
      </c>
      <c r="H81" s="43">
        <f>DATE(2027,8,26)+371</f>
        <v>46996</v>
      </c>
      <c r="I81" s="43">
        <f>DATE(2028,8,31)+364</f>
        <v>47360</v>
      </c>
      <c r="J81" s="43">
        <f>DATE(2029,8,30)+364</f>
        <v>47724</v>
      </c>
    </row>
    <row r="83" spans="2:10">
      <c r="B83" s="1" t="s">
        <v>21</v>
      </c>
      <c r="C83" s="47"/>
      <c r="D83" s="47"/>
      <c r="E83" s="47"/>
      <c r="F83" s="26">
        <f ca="1">F31</f>
        <v>59327.715034803427</v>
      </c>
      <c r="G83" s="26">
        <f ca="1">G31</f>
        <v>91635.622727689508</v>
      </c>
      <c r="H83" s="26">
        <f ca="1">H31</f>
        <v>74684.662637329573</v>
      </c>
      <c r="I83" s="26">
        <f ca="1">I31</f>
        <v>66294.852927867556</v>
      </c>
      <c r="J83" s="26">
        <f ca="1">J31</f>
        <v>66553.570367481094</v>
      </c>
    </row>
    <row r="84" spans="2:10">
      <c r="B84" s="1" t="s">
        <v>52</v>
      </c>
      <c r="C84" s="47"/>
      <c r="D84" s="47"/>
      <c r="E84" s="47"/>
      <c r="F84" s="26">
        <f ca="1">F33</f>
        <v>16210.648918763278</v>
      </c>
      <c r="G84" s="26">
        <f t="shared" ref="G84:J84" ca="1" si="48">G33</f>
        <v>25851.159473589149</v>
      </c>
      <c r="H84" s="26">
        <f t="shared" ca="1" si="48"/>
        <v>32481.002452159501</v>
      </c>
      <c r="I84" s="26">
        <f t="shared" ca="1" si="48"/>
        <v>36250.021418000753</v>
      </c>
      <c r="J84" s="26">
        <f t="shared" ca="1" si="48"/>
        <v>40043.329514622455</v>
      </c>
    </row>
    <row r="85" spans="2:10">
      <c r="B85" s="1" t="s">
        <v>24</v>
      </c>
      <c r="C85" s="47"/>
      <c r="D85" s="47"/>
      <c r="E85" s="47"/>
      <c r="F85" s="26">
        <f>F35</f>
        <v>1069.2</v>
      </c>
      <c r="G85" s="26">
        <f>G35</f>
        <v>1176.1200000000001</v>
      </c>
      <c r="H85" s="26">
        <f>H35</f>
        <v>1293.7320000000002</v>
      </c>
      <c r="I85" s="26">
        <f>I35</f>
        <v>1423.1052000000004</v>
      </c>
      <c r="J85" s="26">
        <f>J35</f>
        <v>1565.4157200000006</v>
      </c>
    </row>
    <row r="86" spans="2:10">
      <c r="B86" s="1" t="s">
        <v>53</v>
      </c>
      <c r="C86" s="30"/>
      <c r="D86" s="30"/>
      <c r="E86" s="30"/>
      <c r="F86" s="26">
        <f ca="1">SUM(E50:E52)-SUM(F50:F52)</f>
        <v>-22088.511852399984</v>
      </c>
      <c r="G86" s="26">
        <f ca="1">SUM(F50:F52)-SUM(G50:G52)</f>
        <v>-13999.909171767227</v>
      </c>
      <c r="H86" s="26">
        <f ca="1">SUM(G50:G52)-SUM(H50:H52)</f>
        <v>-9185.8208989495688</v>
      </c>
      <c r="I86" s="26">
        <f ca="1">SUM(H50:H52)-SUM(I50:I52)</f>
        <v>1227.5987818199574</v>
      </c>
      <c r="J86" s="26">
        <f ca="1">SUM(I50:I52)-SUM(J50:J52)</f>
        <v>-7987.7010967485694</v>
      </c>
    </row>
    <row r="87" spans="2:10">
      <c r="B87" s="1" t="s">
        <v>54</v>
      </c>
      <c r="C87" s="30"/>
      <c r="D87" s="30"/>
      <c r="E87" s="30"/>
      <c r="F87" s="26">
        <f ca="1">SUM(F61:F62)-SUM(E61:E62)</f>
        <v>4736.4625919828977</v>
      </c>
      <c r="G87" s="26">
        <f ca="1">SUM(G61:G62)-SUM(F61:F62)</f>
        <v>3133.8039172036079</v>
      </c>
      <c r="H87" s="26">
        <f ca="1">SUM(H61:H62)-SUM(G61:G62)</f>
        <v>10322.504397174172</v>
      </c>
      <c r="I87" s="26">
        <f ca="1">SUM(I61:I62)-SUM(H61:H62)</f>
        <v>1370.0190384576381</v>
      </c>
      <c r="J87" s="26">
        <f ca="1">SUM(J61:J62)-SUM(I61:I62)</f>
        <v>5879.5207932990525</v>
      </c>
    </row>
    <row r="88" spans="2:10">
      <c r="B88" s="1" t="s">
        <v>38</v>
      </c>
      <c r="F88" s="26">
        <f ca="1">-F122</f>
        <v>-5667.2298142230957</v>
      </c>
      <c r="G88" s="26">
        <f t="shared" ref="G88:J88" ca="1" si="49">-G122</f>
        <v>-3667.9876854600348</v>
      </c>
      <c r="H88" s="26">
        <f t="shared" ca="1" si="49"/>
        <v>-274.00436972794779</v>
      </c>
      <c r="I88" s="26">
        <f t="shared" ca="1" si="49"/>
        <v>570.84971556994083</v>
      </c>
      <c r="J88" s="26">
        <f t="shared" ca="1" si="49"/>
        <v>-1046.3824411115916</v>
      </c>
    </row>
    <row r="89" spans="2:10">
      <c r="B89" s="1" t="s">
        <v>44</v>
      </c>
      <c r="F89" s="26">
        <f ca="1">F67-E67</f>
        <v>2851.9608522531962</v>
      </c>
      <c r="G89" s="26">
        <f ca="1">G67-F67</f>
        <v>1789.5064866520406</v>
      </c>
      <c r="H89" s="26">
        <f ca="1">H67-G67</f>
        <v>39.264196498218553</v>
      </c>
      <c r="I89" s="26">
        <f ca="1">I67-H67</f>
        <v>-382.73322096271568</v>
      </c>
      <c r="J89" s="26">
        <f ca="1">J67-I67</f>
        <v>459.27986515525936</v>
      </c>
    </row>
    <row r="90" spans="2:10">
      <c r="B90" s="27" t="s">
        <v>55</v>
      </c>
      <c r="F90" s="44">
        <f ca="1">SUM(F83:F89)</f>
        <v>56440.245731179719</v>
      </c>
      <c r="G90" s="44">
        <f t="shared" ref="G90:J90" ca="1" si="50">SUM(G83:G89)</f>
        <v>105918.31574790705</v>
      </c>
      <c r="H90" s="44">
        <f t="shared" ca="1" si="50"/>
        <v>109361.34041448396</v>
      </c>
      <c r="I90" s="44">
        <f t="shared" ca="1" si="50"/>
        <v>106753.71386075314</v>
      </c>
      <c r="J90" s="44">
        <f t="shared" ca="1" si="50"/>
        <v>105467.0327226977</v>
      </c>
    </row>
    <row r="92" spans="2:10">
      <c r="B92" s="1" t="s">
        <v>56</v>
      </c>
      <c r="F92" s="26">
        <f>-F108</f>
        <v>-26000</v>
      </c>
      <c r="G92" s="26">
        <f t="shared" ref="G92:J92" si="51">-G108</f>
        <v>-36000</v>
      </c>
      <c r="H92" s="26">
        <f t="shared" si="51"/>
        <v>-40000</v>
      </c>
      <c r="I92" s="26">
        <f t="shared" si="51"/>
        <v>-40000</v>
      </c>
      <c r="J92" s="26">
        <f t="shared" si="51"/>
        <v>-40000</v>
      </c>
    </row>
    <row r="93" spans="2:10">
      <c r="B93" s="27" t="s">
        <v>57</v>
      </c>
      <c r="F93" s="28">
        <f>F92</f>
        <v>-26000</v>
      </c>
      <c r="G93" s="28">
        <f t="shared" ref="G93:J93" si="52">G92</f>
        <v>-36000</v>
      </c>
      <c r="H93" s="28">
        <f t="shared" si="52"/>
        <v>-40000</v>
      </c>
      <c r="I93" s="28">
        <f t="shared" si="52"/>
        <v>-40000</v>
      </c>
      <c r="J93" s="28">
        <f t="shared" si="52"/>
        <v>-40000</v>
      </c>
    </row>
    <row r="95" spans="2:10">
      <c r="B95" s="1" t="s">
        <v>58</v>
      </c>
      <c r="F95" s="26">
        <f>F64-E64</f>
        <v>-5000</v>
      </c>
      <c r="G95" s="26">
        <f>G64-F64</f>
        <v>-2000</v>
      </c>
      <c r="H95" s="26">
        <f>H64-G64</f>
        <v>-2000</v>
      </c>
      <c r="I95" s="26">
        <f>I64-H64</f>
        <v>-2000</v>
      </c>
      <c r="J95" s="26">
        <f>J64-I64</f>
        <v>-2000</v>
      </c>
    </row>
    <row r="96" spans="2:10">
      <c r="B96" s="1" t="s">
        <v>59</v>
      </c>
      <c r="F96" s="26">
        <f ca="1">F63-E63</f>
        <v>-510</v>
      </c>
      <c r="G96" s="26">
        <f ca="1">G63-F63</f>
        <v>0</v>
      </c>
      <c r="H96" s="26">
        <f ca="1">H63-G63</f>
        <v>0</v>
      </c>
      <c r="I96" s="26">
        <f ca="1">I63-H63</f>
        <v>0</v>
      </c>
      <c r="J96" s="26">
        <f ca="1">J63-I63</f>
        <v>0</v>
      </c>
    </row>
    <row r="97" spans="1:11">
      <c r="B97" s="1" t="s">
        <v>60</v>
      </c>
      <c r="F97" s="26">
        <f>F129</f>
        <v>-1200</v>
      </c>
      <c r="G97" s="26">
        <f t="shared" ref="G97:J97" si="53">G129</f>
        <v>-1200</v>
      </c>
      <c r="H97" s="26">
        <f t="shared" si="53"/>
        <v>-1200</v>
      </c>
      <c r="I97" s="26">
        <f t="shared" si="53"/>
        <v>-1200</v>
      </c>
      <c r="J97" s="26">
        <f t="shared" si="53"/>
        <v>-1200</v>
      </c>
    </row>
    <row r="98" spans="1:11">
      <c r="B98" s="1" t="s">
        <v>61</v>
      </c>
      <c r="F98" s="26">
        <f>F128</f>
        <v>-685.1</v>
      </c>
      <c r="G98" s="26">
        <f t="shared" ref="G98:J98" si="54">G128</f>
        <v>-685.1</v>
      </c>
      <c r="H98" s="26">
        <f t="shared" si="54"/>
        <v>-685.1</v>
      </c>
      <c r="I98" s="26">
        <f t="shared" si="54"/>
        <v>-685.1</v>
      </c>
      <c r="J98" s="26">
        <f t="shared" si="54"/>
        <v>-685.1</v>
      </c>
    </row>
    <row r="99" spans="1:11">
      <c r="B99" s="27" t="s">
        <v>62</v>
      </c>
      <c r="F99" s="44">
        <f ca="1">SUM(F95:F98)</f>
        <v>-7395.1</v>
      </c>
      <c r="G99" s="44">
        <f t="shared" ref="G99:J99" ca="1" si="55">SUM(G95:G98)</f>
        <v>-3885.1</v>
      </c>
      <c r="H99" s="44">
        <f t="shared" ca="1" si="55"/>
        <v>-3885.1</v>
      </c>
      <c r="I99" s="44">
        <f t="shared" ca="1" si="55"/>
        <v>-3885.1</v>
      </c>
      <c r="J99" s="44">
        <f t="shared" ca="1" si="55"/>
        <v>-3885.1</v>
      </c>
    </row>
    <row r="101" spans="1:11">
      <c r="B101" s="27" t="s">
        <v>63</v>
      </c>
      <c r="F101" s="44">
        <f ca="1">F99+F90+F93</f>
        <v>23045.14573117972</v>
      </c>
      <c r="G101" s="44">
        <f t="shared" ref="G101:J101" ca="1" si="56">G99+G90+G93</f>
        <v>66033.215747907045</v>
      </c>
      <c r="H101" s="44">
        <f t="shared" ca="1" si="56"/>
        <v>65476.240414483953</v>
      </c>
      <c r="I101" s="44">
        <f t="shared" ca="1" si="56"/>
        <v>62868.613860753132</v>
      </c>
      <c r="J101" s="44">
        <f t="shared" ca="1" si="56"/>
        <v>61581.932722697689</v>
      </c>
    </row>
    <row r="103" spans="1:11">
      <c r="A103" s="1" t="s">
        <v>125</v>
      </c>
      <c r="B103" s="14" t="s">
        <v>64</v>
      </c>
      <c r="C103" s="15"/>
      <c r="D103" s="15"/>
      <c r="E103" s="15"/>
      <c r="F103" s="15"/>
      <c r="G103" s="15"/>
      <c r="H103" s="15"/>
      <c r="I103" s="15"/>
      <c r="J103" s="15"/>
    </row>
    <row r="104" spans="1:11">
      <c r="B104" s="40" t="s">
        <v>8</v>
      </c>
      <c r="C104" s="41">
        <f>D104-1</f>
        <v>2023</v>
      </c>
      <c r="D104" s="41">
        <f>E104-1</f>
        <v>2024</v>
      </c>
      <c r="E104" s="41">
        <v>2025</v>
      </c>
      <c r="F104" s="42">
        <v>2026</v>
      </c>
      <c r="G104" s="42">
        <f>F104+1</f>
        <v>2027</v>
      </c>
      <c r="H104" s="42">
        <f>G104+1</f>
        <v>2028</v>
      </c>
      <c r="I104" s="42">
        <f>H104+1</f>
        <v>2029</v>
      </c>
      <c r="J104" s="42">
        <f>I104+1</f>
        <v>2030</v>
      </c>
    </row>
    <row r="105" spans="1:11">
      <c r="B105" s="15" t="s">
        <v>9</v>
      </c>
      <c r="C105" s="43">
        <f>DATE(2024,8,29)-364</f>
        <v>45169</v>
      </c>
      <c r="D105" s="43">
        <f>DATE(2025,8,28)-364</f>
        <v>45533</v>
      </c>
      <c r="E105" s="43">
        <f>C10</f>
        <v>45897</v>
      </c>
      <c r="F105" s="43">
        <f>DATE(2025,8,28)+364</f>
        <v>46261</v>
      </c>
      <c r="G105" s="43">
        <f>DATE(2026,8,27)+364</f>
        <v>46625</v>
      </c>
      <c r="H105" s="43">
        <f>DATE(2027,8,26)+371</f>
        <v>46996</v>
      </c>
      <c r="I105" s="43">
        <f>DATE(2028,8,31)+364</f>
        <v>47360</v>
      </c>
      <c r="J105" s="43">
        <f>DATE(2029,8,30)+364</f>
        <v>47724</v>
      </c>
    </row>
    <row r="106" spans="1:11">
      <c r="B106" s="27"/>
      <c r="F106" s="48"/>
      <c r="G106" s="48"/>
      <c r="H106" s="48"/>
      <c r="I106" s="48"/>
      <c r="J106" s="48"/>
    </row>
    <row r="107" spans="1:11">
      <c r="B107" s="31" t="s">
        <v>65</v>
      </c>
      <c r="F107" s="30">
        <f>E110</f>
        <v>46590</v>
      </c>
      <c r="G107" s="30">
        <f>F110</f>
        <v>56546.229508196724</v>
      </c>
      <c r="H107" s="30">
        <f t="shared" ref="H107:J107" si="57">G110</f>
        <v>66911.778058007578</v>
      </c>
      <c r="I107" s="30">
        <f t="shared" si="57"/>
        <v>74629.054224464082</v>
      </c>
      <c r="J107" s="30">
        <f t="shared" si="57"/>
        <v>78546.330390920572</v>
      </c>
    </row>
    <row r="108" spans="1:11">
      <c r="B108" s="49" t="s">
        <v>66</v>
      </c>
      <c r="C108" s="25">
        <v>7680</v>
      </c>
      <c r="D108" s="25">
        <v>8390</v>
      </c>
      <c r="E108" s="25">
        <v>15860</v>
      </c>
      <c r="F108" s="25">
        <v>26000</v>
      </c>
      <c r="G108" s="25">
        <v>36000</v>
      </c>
      <c r="H108" s="25">
        <v>40000</v>
      </c>
      <c r="I108" s="25">
        <v>40000</v>
      </c>
      <c r="J108" s="25">
        <v>40000</v>
      </c>
    </row>
    <row r="109" spans="1:11">
      <c r="B109" s="50" t="s">
        <v>67</v>
      </c>
      <c r="C109" s="51">
        <v>-7670</v>
      </c>
      <c r="D109" s="51">
        <v>-7700</v>
      </c>
      <c r="E109" s="51">
        <v>-8280</v>
      </c>
      <c r="F109" s="52">
        <f>-(F108*F112)</f>
        <v>-16043.770491803278</v>
      </c>
      <c r="G109" s="52">
        <f t="shared" ref="G109:I109" si="58">-(G108*G112)</f>
        <v>-25634.45145018915</v>
      </c>
      <c r="H109" s="52">
        <f t="shared" si="58"/>
        <v>-32282.723833543499</v>
      </c>
      <c r="I109" s="52">
        <f t="shared" si="58"/>
        <v>-36082.723833543503</v>
      </c>
      <c r="J109" s="52">
        <f>-(J108*J112)</f>
        <v>-39882.723833543496</v>
      </c>
    </row>
    <row r="110" spans="1:11">
      <c r="B110" s="53" t="s">
        <v>68</v>
      </c>
      <c r="C110" s="44"/>
      <c r="D110" s="44">
        <f>D53</f>
        <v>39749</v>
      </c>
      <c r="E110" s="44">
        <f>E53</f>
        <v>46590</v>
      </c>
      <c r="F110" s="44">
        <f>SUM(F107:F109)</f>
        <v>56546.229508196724</v>
      </c>
      <c r="G110" s="44">
        <f t="shared" ref="G110:J110" si="59">SUM(G107:G109)</f>
        <v>66911.778058007578</v>
      </c>
      <c r="H110" s="44">
        <f t="shared" si="59"/>
        <v>74629.054224464082</v>
      </c>
      <c r="I110" s="44">
        <f t="shared" si="59"/>
        <v>78546.330390920572</v>
      </c>
      <c r="J110" s="44">
        <f t="shared" si="59"/>
        <v>78663.606557377076</v>
      </c>
    </row>
    <row r="111" spans="1:11">
      <c r="B111" s="31"/>
      <c r="K111" s="121" t="s">
        <v>69</v>
      </c>
    </row>
    <row r="112" spans="1:11">
      <c r="B112" s="31" t="s">
        <v>70</v>
      </c>
      <c r="C112" s="54">
        <f>-(C109/C108)</f>
        <v>0.99869791666666663</v>
      </c>
      <c r="D112" s="54">
        <f>-(D109/D108)</f>
        <v>0.91775923718712749</v>
      </c>
      <c r="E112" s="54">
        <f>-(E109/E108)</f>
        <v>0.5220680958385876</v>
      </c>
      <c r="F112" s="54">
        <f>E112+$K$112</f>
        <v>0.61706809583858757</v>
      </c>
      <c r="G112" s="54">
        <f t="shared" ref="G112:J112" si="60">F112+$K$112</f>
        <v>0.71206809583858754</v>
      </c>
      <c r="H112" s="54">
        <f t="shared" si="60"/>
        <v>0.80706809583858752</v>
      </c>
      <c r="I112" s="54">
        <f t="shared" si="60"/>
        <v>0.90206809583858749</v>
      </c>
      <c r="J112" s="54">
        <f t="shared" si="60"/>
        <v>0.99706809583858746</v>
      </c>
      <c r="K112" s="55">
        <v>9.5000000000000001E-2</v>
      </c>
    </row>
    <row r="113" spans="1:15">
      <c r="B113" s="31"/>
      <c r="C113" s="54"/>
      <c r="D113" s="54"/>
      <c r="E113" s="54"/>
      <c r="F113" s="34"/>
      <c r="G113" s="34"/>
      <c r="H113" s="34"/>
      <c r="I113" s="34"/>
      <c r="J113" s="34"/>
      <c r="M113" s="56"/>
      <c r="N113" s="56"/>
      <c r="O113" s="56"/>
    </row>
    <row r="114" spans="1:15">
      <c r="A114" s="1" t="s">
        <v>125</v>
      </c>
      <c r="B114" s="57" t="s">
        <v>71</v>
      </c>
      <c r="C114" s="58"/>
      <c r="D114" s="58"/>
      <c r="E114" s="58"/>
      <c r="F114" s="59"/>
      <c r="G114" s="59"/>
      <c r="H114" s="59"/>
      <c r="I114" s="59"/>
      <c r="J114" s="59"/>
      <c r="M114" s="56"/>
      <c r="N114" s="56"/>
      <c r="O114" s="56"/>
    </row>
    <row r="115" spans="1:15">
      <c r="B115" s="31" t="s">
        <v>72</v>
      </c>
      <c r="C115" s="30">
        <f>C117+C109</f>
        <v>86</v>
      </c>
      <c r="D115" s="30">
        <f t="shared" ref="D115:E115" si="61">D117+D109</f>
        <v>80</v>
      </c>
      <c r="E115" s="30">
        <f t="shared" si="61"/>
        <v>72</v>
      </c>
      <c r="F115" s="26">
        <f ca="1">F116*F18</f>
        <v>166.87842695999998</v>
      </c>
      <c r="G115" s="26">
        <f ca="1">G116*G18</f>
        <v>216.70802339999995</v>
      </c>
      <c r="H115" s="26">
        <f ca="1">H116*H18</f>
        <v>198.27861861599996</v>
      </c>
      <c r="I115" s="26">
        <f ca="1">I116*I18</f>
        <v>167.29758445724997</v>
      </c>
      <c r="J115" s="26">
        <f ca="1">J116*J18</f>
        <v>160.60568107895995</v>
      </c>
      <c r="K115" s="121" t="s">
        <v>69</v>
      </c>
      <c r="M115" s="56"/>
      <c r="N115" s="56"/>
      <c r="O115" s="56"/>
    </row>
    <row r="116" spans="1:15">
      <c r="B116" s="29" t="s">
        <v>73</v>
      </c>
      <c r="C116" s="60">
        <f>C115/C18</f>
        <v>5.5341055341055342E-3</v>
      </c>
      <c r="D116" s="60">
        <f>D115/D18</f>
        <v>3.1858548046672774E-3</v>
      </c>
      <c r="E116" s="60">
        <f>E115/E18</f>
        <v>1.9262667879501312E-3</v>
      </c>
      <c r="F116" s="36">
        <v>1.5E-3</v>
      </c>
      <c r="G116" s="34">
        <f>F116-$K$116</f>
        <v>1.3749999999999999E-3</v>
      </c>
      <c r="H116" s="34">
        <f>G116-$K$116</f>
        <v>1.2499999999999998E-3</v>
      </c>
      <c r="I116" s="34">
        <f>H116-$K$116</f>
        <v>1.1249999999999997E-3</v>
      </c>
      <c r="J116" s="34">
        <f>I116-$K$116</f>
        <v>9.9999999999999959E-4</v>
      </c>
      <c r="K116" s="61">
        <v>1.25E-4</v>
      </c>
      <c r="M116" s="56"/>
      <c r="N116" s="56"/>
      <c r="O116" s="56"/>
    </row>
    <row r="117" spans="1:15">
      <c r="B117" s="32" t="s">
        <v>74</v>
      </c>
      <c r="C117" s="44">
        <f>C33</f>
        <v>7756</v>
      </c>
      <c r="D117" s="44">
        <f>D33</f>
        <v>7780</v>
      </c>
      <c r="E117" s="44">
        <f>E33</f>
        <v>8352</v>
      </c>
      <c r="F117" s="28">
        <f ca="1">-(F109-F115)</f>
        <v>16210.648918763278</v>
      </c>
      <c r="G117" s="28">
        <f t="shared" ref="G117:J117" ca="1" si="62">-(G109-G115)</f>
        <v>25851.159473589149</v>
      </c>
      <c r="H117" s="28">
        <f t="shared" ca="1" si="62"/>
        <v>32481.002452159501</v>
      </c>
      <c r="I117" s="28">
        <f t="shared" ca="1" si="62"/>
        <v>36250.021418000753</v>
      </c>
      <c r="J117" s="28">
        <f t="shared" ca="1" si="62"/>
        <v>40043.329514622455</v>
      </c>
      <c r="M117" s="56"/>
      <c r="N117" s="56"/>
      <c r="O117" s="56"/>
    </row>
    <row r="118" spans="1:15">
      <c r="G118" s="30"/>
      <c r="H118" s="30"/>
      <c r="I118" s="30"/>
      <c r="J118" s="30"/>
    </row>
    <row r="119" spans="1:15">
      <c r="B119" s="62" t="s">
        <v>75</v>
      </c>
      <c r="C119" s="15"/>
      <c r="D119" s="15"/>
      <c r="E119" s="15"/>
      <c r="G119" s="30"/>
      <c r="H119" s="30"/>
      <c r="I119" s="30"/>
      <c r="J119" s="30"/>
    </row>
    <row r="120" spans="1:15">
      <c r="B120" s="31" t="s">
        <v>65</v>
      </c>
      <c r="C120" s="30"/>
      <c r="F120" s="63">
        <f>E123</f>
        <v>2783</v>
      </c>
      <c r="G120" s="63">
        <f t="shared" ref="G120:J120" ca="1" si="63">F123</f>
        <v>8283.3513872630956</v>
      </c>
      <c r="H120" s="63">
        <f t="shared" ca="1" si="63"/>
        <v>11734.63104932313</v>
      </c>
      <c r="I120" s="63">
        <f t="shared" ca="1" si="63"/>
        <v>11810.356800435078</v>
      </c>
      <c r="J120" s="63">
        <f t="shared" ca="1" si="63"/>
        <v>11072.209500407887</v>
      </c>
    </row>
    <row r="121" spans="1:15">
      <c r="B121" s="29" t="s">
        <v>126</v>
      </c>
      <c r="F121" s="30">
        <f ca="1">-F115</f>
        <v>-166.87842695999998</v>
      </c>
      <c r="G121" s="30">
        <f t="shared" ref="G121:J121" ca="1" si="64">-G115</f>
        <v>-216.70802339999995</v>
      </c>
      <c r="H121" s="30">
        <f t="shared" ca="1" si="64"/>
        <v>-198.27861861599996</v>
      </c>
      <c r="I121" s="30">
        <f t="shared" ca="1" si="64"/>
        <v>-167.29758445724997</v>
      </c>
      <c r="J121" s="30">
        <f t="shared" ca="1" si="64"/>
        <v>-160.60568107895995</v>
      </c>
    </row>
    <row r="122" spans="1:15">
      <c r="B122" s="64" t="s">
        <v>76</v>
      </c>
      <c r="C122" s="65"/>
      <c r="D122" s="65"/>
      <c r="E122" s="52"/>
      <c r="F122" s="66">
        <f ca="1">F123-F120-F121</f>
        <v>5667.2298142230957</v>
      </c>
      <c r="G122" s="66">
        <f t="shared" ref="G122:J122" ca="1" si="65">G123-G120-G121</f>
        <v>3667.9876854600348</v>
      </c>
      <c r="H122" s="66">
        <f t="shared" ca="1" si="65"/>
        <v>274.00436972794779</v>
      </c>
      <c r="I122" s="66">
        <f t="shared" ca="1" si="65"/>
        <v>-570.84971556994083</v>
      </c>
      <c r="J122" s="66">
        <f t="shared" ca="1" si="65"/>
        <v>1046.3824411115916</v>
      </c>
    </row>
    <row r="123" spans="1:15">
      <c r="B123" s="53" t="s">
        <v>68</v>
      </c>
      <c r="D123" s="44">
        <f t="shared" ref="D123:J123" si="66">D58</f>
        <v>1518</v>
      </c>
      <c r="E123" s="44">
        <f t="shared" si="66"/>
        <v>2783</v>
      </c>
      <c r="F123" s="44">
        <f t="shared" ca="1" si="66"/>
        <v>8283.3513872630956</v>
      </c>
      <c r="G123" s="44">
        <f t="shared" ca="1" si="66"/>
        <v>11734.63104932313</v>
      </c>
      <c r="H123" s="44">
        <f t="shared" ca="1" si="66"/>
        <v>11810.356800435078</v>
      </c>
      <c r="I123" s="44">
        <f t="shared" ca="1" si="66"/>
        <v>11072.209500407887</v>
      </c>
      <c r="J123" s="44">
        <f t="shared" ca="1" si="66"/>
        <v>11957.986260440519</v>
      </c>
    </row>
    <row r="124" spans="1:15">
      <c r="B124" s="29"/>
      <c r="D124" s="30"/>
      <c r="E124" s="30"/>
      <c r="G124" s="30"/>
      <c r="H124" s="30"/>
      <c r="I124" s="30"/>
      <c r="J124" s="30"/>
    </row>
    <row r="125" spans="1:15">
      <c r="A125" s="1" t="s">
        <v>125</v>
      </c>
      <c r="B125" s="67" t="s">
        <v>77</v>
      </c>
      <c r="C125" s="62"/>
      <c r="D125" s="62"/>
      <c r="E125" s="62"/>
      <c r="F125" s="15"/>
      <c r="G125" s="15"/>
      <c r="H125" s="15"/>
      <c r="I125" s="15"/>
      <c r="J125" s="15"/>
    </row>
    <row r="126" spans="1:15">
      <c r="B126" s="31" t="s">
        <v>65</v>
      </c>
      <c r="F126" s="30">
        <f>E130</f>
        <v>48583</v>
      </c>
      <c r="G126" s="30">
        <f t="shared" ref="G126:J126" ca="1" si="67">F130</f>
        <v>106025.61503479909</v>
      </c>
      <c r="H126" s="30">
        <f t="shared" ca="1" si="67"/>
        <v>195776.13776242913</v>
      </c>
      <c r="I126" s="30">
        <f t="shared" ca="1" si="67"/>
        <v>268575.70039909333</v>
      </c>
      <c r="J126" s="30">
        <f t="shared" ca="1" si="67"/>
        <v>332985.45332206384</v>
      </c>
    </row>
    <row r="127" spans="1:15">
      <c r="B127" s="29" t="s">
        <v>78</v>
      </c>
      <c r="C127" s="26">
        <f t="shared" ref="C127:J127" si="68">C31</f>
        <v>-5835</v>
      </c>
      <c r="D127" s="26">
        <f t="shared" si="68"/>
        <v>789</v>
      </c>
      <c r="E127" s="26">
        <f t="shared" si="68"/>
        <v>8530</v>
      </c>
      <c r="F127" s="30">
        <f t="shared" ca="1" si="68"/>
        <v>59327.715034803427</v>
      </c>
      <c r="G127" s="30">
        <f t="shared" ca="1" si="68"/>
        <v>91635.622727689508</v>
      </c>
      <c r="H127" s="30">
        <f t="shared" ca="1" si="68"/>
        <v>74684.662637329573</v>
      </c>
      <c r="I127" s="30">
        <f t="shared" ca="1" si="68"/>
        <v>66294.852927867556</v>
      </c>
      <c r="J127" s="30">
        <f t="shared" ca="1" si="68"/>
        <v>66553.570367481094</v>
      </c>
    </row>
    <row r="128" spans="1:15">
      <c r="B128" s="29" t="s">
        <v>79</v>
      </c>
      <c r="C128" s="25">
        <v>-509</v>
      </c>
      <c r="D128" s="25">
        <v>-518</v>
      </c>
      <c r="E128" s="25">
        <v>-527</v>
      </c>
      <c r="F128" s="30">
        <f>E128*1.3</f>
        <v>-685.1</v>
      </c>
      <c r="G128" s="30">
        <f t="shared" ref="G128:J128" si="69">F128</f>
        <v>-685.1</v>
      </c>
      <c r="H128" s="30">
        <f t="shared" si="69"/>
        <v>-685.1</v>
      </c>
      <c r="I128" s="30">
        <f t="shared" si="69"/>
        <v>-685.1</v>
      </c>
      <c r="J128" s="30">
        <f t="shared" si="69"/>
        <v>-685.1</v>
      </c>
    </row>
    <row r="129" spans="1:15">
      <c r="B129" s="64" t="s">
        <v>80</v>
      </c>
      <c r="C129" s="51">
        <v>-108</v>
      </c>
      <c r="D129" s="51">
        <v>-207</v>
      </c>
      <c r="E129" s="51">
        <v>-306</v>
      </c>
      <c r="F129" s="52">
        <f>-F183</f>
        <v>-1200</v>
      </c>
      <c r="G129" s="52">
        <f t="shared" ref="G129:J129" si="70">-G183</f>
        <v>-1200</v>
      </c>
      <c r="H129" s="52">
        <f t="shared" si="70"/>
        <v>-1200</v>
      </c>
      <c r="I129" s="52">
        <f t="shared" si="70"/>
        <v>-1200</v>
      </c>
      <c r="J129" s="52">
        <f t="shared" si="70"/>
        <v>-1200</v>
      </c>
    </row>
    <row r="130" spans="1:15">
      <c r="B130" s="53" t="s">
        <v>68</v>
      </c>
      <c r="C130" s="259">
        <v>40824</v>
      </c>
      <c r="D130" s="28">
        <f>D72</f>
        <v>40877</v>
      </c>
      <c r="E130" s="28">
        <f>E72</f>
        <v>48583</v>
      </c>
      <c r="F130" s="30">
        <f ca="1">SUM(F126:F129)</f>
        <v>106025.61503480343</v>
      </c>
      <c r="G130" s="30">
        <f t="shared" ref="G130:J130" ca="1" si="71">SUM(G126:G129)</f>
        <v>195776.13776248859</v>
      </c>
      <c r="H130" s="30">
        <f t="shared" ca="1" si="71"/>
        <v>268575.70039975876</v>
      </c>
      <c r="I130" s="30">
        <f t="shared" ca="1" si="71"/>
        <v>332985.45332696091</v>
      </c>
      <c r="J130" s="30">
        <f t="shared" ca="1" si="71"/>
        <v>397653.92368954496</v>
      </c>
    </row>
    <row r="131" spans="1:15">
      <c r="D131" s="47"/>
      <c r="E131" s="47"/>
    </row>
    <row r="132" spans="1:15">
      <c r="A132" s="1" t="s">
        <v>125</v>
      </c>
      <c r="B132" s="14" t="s">
        <v>81</v>
      </c>
      <c r="C132" s="15"/>
      <c r="D132" s="15"/>
      <c r="E132" s="15"/>
      <c r="F132" s="15"/>
      <c r="G132" s="15"/>
      <c r="H132" s="15"/>
      <c r="I132" s="15"/>
      <c r="J132" s="15"/>
      <c r="M132" s="56"/>
      <c r="N132" s="56"/>
    </row>
    <row r="133" spans="1:15">
      <c r="B133" s="40" t="str">
        <f>B15</f>
        <v xml:space="preserve">Fiscal year  </v>
      </c>
      <c r="C133" s="41">
        <f>D133-1</f>
        <v>2023</v>
      </c>
      <c r="D133" s="41">
        <f>E133-1</f>
        <v>2024</v>
      </c>
      <c r="E133" s="41">
        <v>2025</v>
      </c>
      <c r="F133" s="42">
        <v>2026</v>
      </c>
      <c r="G133" s="42">
        <f>F133+1</f>
        <v>2027</v>
      </c>
      <c r="H133" s="42">
        <f>G133+1</f>
        <v>2028</v>
      </c>
      <c r="I133" s="42">
        <f>H133+1</f>
        <v>2029</v>
      </c>
      <c r="J133" s="42">
        <f>I133+1</f>
        <v>2030</v>
      </c>
      <c r="M133" s="56"/>
      <c r="N133" s="56"/>
    </row>
    <row r="134" spans="1:15">
      <c r="B134" s="15" t="str">
        <f>B16</f>
        <v>Fiscal year end date</v>
      </c>
      <c r="C134" s="43">
        <f>DATE(2024,8,29)-364</f>
        <v>45169</v>
      </c>
      <c r="D134" s="43">
        <f>DATE(2025,8,28)-364</f>
        <v>45533</v>
      </c>
      <c r="E134" s="43">
        <f>C10</f>
        <v>45897</v>
      </c>
      <c r="F134" s="43">
        <f>DATE(2025,8,28)+364</f>
        <v>46261</v>
      </c>
      <c r="G134" s="43">
        <f>DATE(2026,8,27)+364</f>
        <v>46625</v>
      </c>
      <c r="H134" s="43">
        <f>DATE(2027,8,26)+371</f>
        <v>46996</v>
      </c>
      <c r="I134" s="43">
        <f>DATE(2028,8,31)+364</f>
        <v>47360</v>
      </c>
      <c r="J134" s="43">
        <f>DATE(2029,8,30)+364</f>
        <v>47724</v>
      </c>
      <c r="M134" s="56"/>
      <c r="N134" s="56"/>
    </row>
    <row r="135" spans="1:15">
      <c r="B135" s="27"/>
      <c r="M135" s="56"/>
      <c r="N135" s="56"/>
    </row>
    <row r="136" spans="1:15">
      <c r="B136" s="33" t="s">
        <v>82</v>
      </c>
      <c r="M136" s="56"/>
      <c r="N136" s="56"/>
      <c r="O136" s="56"/>
    </row>
    <row r="137" spans="1:15">
      <c r="B137" s="29" t="s">
        <v>83</v>
      </c>
      <c r="F137" s="30">
        <f>E49</f>
        <v>11936</v>
      </c>
      <c r="G137" s="30">
        <f ca="1">F49</f>
        <v>34981.145731175384</v>
      </c>
      <c r="H137" s="30">
        <f ca="1">G49</f>
        <v>101014.36147902298</v>
      </c>
      <c r="I137" s="30">
        <f ca="1">H49</f>
        <v>166490.60189310118</v>
      </c>
      <c r="J137" s="30">
        <f ca="1">I49</f>
        <v>229359.21575199743</v>
      </c>
      <c r="M137" s="56"/>
      <c r="N137" s="56"/>
    </row>
    <row r="138" spans="1:15">
      <c r="B138" s="29" t="s">
        <v>84</v>
      </c>
      <c r="F138" s="25">
        <v>-10000</v>
      </c>
      <c r="G138" s="25">
        <v>-10000</v>
      </c>
      <c r="H138" s="25">
        <v>-10000</v>
      </c>
      <c r="I138" s="25">
        <v>-10000</v>
      </c>
      <c r="J138" s="25">
        <v>-10000</v>
      </c>
      <c r="M138" s="56"/>
      <c r="N138" s="56"/>
    </row>
    <row r="139" spans="1:15">
      <c r="B139" s="64" t="s">
        <v>85</v>
      </c>
      <c r="C139" s="65"/>
      <c r="D139" s="65"/>
      <c r="E139" s="118"/>
      <c r="F139" s="119">
        <f ca="1">SUM(F90,F93,F95,F97,F98)</f>
        <v>23555.14573117972</v>
      </c>
      <c r="G139" s="119">
        <f t="shared" ref="G139:J139" ca="1" si="72">SUM(G90,G93,G95,G97,G98)</f>
        <v>66033.215747907045</v>
      </c>
      <c r="H139" s="119">
        <f ca="1">SUM(H90,H93,H95,H97,H98)</f>
        <v>65476.24041448396</v>
      </c>
      <c r="I139" s="119">
        <f t="shared" ca="1" si="72"/>
        <v>62868.613860753139</v>
      </c>
      <c r="J139" s="119">
        <f t="shared" ca="1" si="72"/>
        <v>61581.932722697697</v>
      </c>
    </row>
    <row r="140" spans="1:15">
      <c r="B140" s="53" t="s">
        <v>86</v>
      </c>
      <c r="F140" s="44">
        <f ca="1">SUM(F137:F139)</f>
        <v>25491.14573117972</v>
      </c>
      <c r="G140" s="44">
        <f t="shared" ref="G140:J140" ca="1" si="73">SUM(G137:G139)</f>
        <v>91014.361479082436</v>
      </c>
      <c r="H140" s="44">
        <f t="shared" ca="1" si="73"/>
        <v>156490.60189350694</v>
      </c>
      <c r="I140" s="44">
        <f t="shared" ca="1" si="73"/>
        <v>219359.21575385431</v>
      </c>
      <c r="J140" s="44">
        <f t="shared" ca="1" si="73"/>
        <v>280941.1484746951</v>
      </c>
    </row>
    <row r="142" spans="1:15">
      <c r="B142" s="27" t="s">
        <v>87</v>
      </c>
    </row>
    <row r="143" spans="1:15">
      <c r="B143" s="29" t="s">
        <v>65</v>
      </c>
      <c r="F143" s="30">
        <f>E146</f>
        <v>560</v>
      </c>
      <c r="G143" s="30">
        <f t="shared" ref="G143:J143" ca="1" si="74">F146</f>
        <v>50</v>
      </c>
      <c r="H143" s="30">
        <f t="shared" ca="1" si="74"/>
        <v>50</v>
      </c>
      <c r="I143" s="30">
        <f t="shared" ca="1" si="74"/>
        <v>50</v>
      </c>
      <c r="J143" s="30">
        <f t="shared" ca="1" si="74"/>
        <v>50</v>
      </c>
    </row>
    <row r="144" spans="1:15">
      <c r="B144" s="49" t="s">
        <v>88</v>
      </c>
      <c r="F144" s="30">
        <f ca="1">-MIN(F140,F143)</f>
        <v>-560</v>
      </c>
      <c r="G144" s="30">
        <f ca="1">-MIN(G140,G143)</f>
        <v>-50</v>
      </c>
      <c r="H144" s="30">
        <f t="shared" ref="H144:J144" ca="1" si="75">-MIN(H140,H143)</f>
        <v>-50</v>
      </c>
      <c r="I144" s="30">
        <f ca="1">-MIN(I140,I143)</f>
        <v>-50</v>
      </c>
      <c r="J144" s="30">
        <f t="shared" ca="1" si="75"/>
        <v>-50</v>
      </c>
    </row>
    <row r="145" spans="1:17">
      <c r="B145" s="50" t="s">
        <v>89</v>
      </c>
      <c r="C145" s="65"/>
      <c r="D145" s="65"/>
      <c r="E145" s="65"/>
      <c r="F145" s="51">
        <v>50</v>
      </c>
      <c r="G145" s="51">
        <v>50</v>
      </c>
      <c r="H145" s="51">
        <v>50</v>
      </c>
      <c r="I145" s="51">
        <v>50</v>
      </c>
      <c r="J145" s="51">
        <v>50</v>
      </c>
    </row>
    <row r="146" spans="1:17">
      <c r="B146" s="29" t="s">
        <v>68</v>
      </c>
      <c r="C146" s="52"/>
      <c r="D146" s="52">
        <f>D63</f>
        <v>431</v>
      </c>
      <c r="E146" s="52">
        <f>E63</f>
        <v>560</v>
      </c>
      <c r="F146" s="68">
        <f ca="1">SUM(F143:F145)</f>
        <v>50</v>
      </c>
      <c r="G146" s="68">
        <f t="shared" ref="G146:J146" ca="1" si="76">SUM(G143:G145)</f>
        <v>50</v>
      </c>
      <c r="H146" s="68">
        <f t="shared" ca="1" si="76"/>
        <v>50</v>
      </c>
      <c r="I146" s="68">
        <f t="shared" ca="1" si="76"/>
        <v>50</v>
      </c>
      <c r="J146" s="68">
        <f t="shared" ca="1" si="76"/>
        <v>50</v>
      </c>
    </row>
    <row r="147" spans="1:17">
      <c r="B147" s="69" t="s">
        <v>90</v>
      </c>
      <c r="C147" s="70"/>
      <c r="D147" s="70"/>
      <c r="E147" s="71"/>
      <c r="F147" s="72" t="str">
        <f ca="1">IF(F146&lt;0,"Negative Debt","OK")</f>
        <v>OK</v>
      </c>
      <c r="G147" s="72" t="str">
        <f ca="1">IF(G146&lt;0,"Negative Debt","OK")</f>
        <v>OK</v>
      </c>
      <c r="H147" s="72" t="str">
        <f ca="1">IF(H146&lt;0,"Negative Debt","OK")</f>
        <v>OK</v>
      </c>
      <c r="I147" s="72" t="str">
        <f ca="1">IF(I146&lt;0,"Negative Debt","OK")</f>
        <v>OK</v>
      </c>
      <c r="J147" s="73" t="str">
        <f ca="1">IF(J146&lt;0,"Negative Debt","OK")</f>
        <v>OK</v>
      </c>
      <c r="Q147" s="47"/>
    </row>
    <row r="148" spans="1:17">
      <c r="C148" s="30"/>
      <c r="D148" s="30"/>
      <c r="E148" s="74"/>
      <c r="F148" s="75"/>
      <c r="G148" s="75"/>
      <c r="H148" s="75"/>
      <c r="I148" s="75"/>
      <c r="J148" s="75"/>
      <c r="Q148" s="47"/>
    </row>
    <row r="149" spans="1:17">
      <c r="A149" s="1" t="s">
        <v>125</v>
      </c>
      <c r="B149" s="14" t="s">
        <v>91</v>
      </c>
      <c r="C149" s="58"/>
      <c r="D149" s="58"/>
      <c r="E149" s="58"/>
      <c r="F149" s="76"/>
      <c r="G149" s="76"/>
      <c r="H149" s="76"/>
      <c r="I149" s="76"/>
      <c r="J149" s="76"/>
      <c r="P149" s="77"/>
    </row>
    <row r="150" spans="1:17">
      <c r="B150" s="40" t="str">
        <f>B15</f>
        <v xml:space="preserve">Fiscal year  </v>
      </c>
      <c r="C150" s="41">
        <f>D150-1</f>
        <v>2023</v>
      </c>
      <c r="D150" s="41">
        <f>E150-1</f>
        <v>2024</v>
      </c>
      <c r="E150" s="41">
        <v>2025</v>
      </c>
      <c r="F150" s="42">
        <v>2026</v>
      </c>
      <c r="G150" s="42">
        <f>F150+1</f>
        <v>2027</v>
      </c>
      <c r="H150" s="42">
        <f>G150+1</f>
        <v>2028</v>
      </c>
      <c r="I150" s="42">
        <f>H150+1</f>
        <v>2029</v>
      </c>
      <c r="J150" s="42">
        <f>I150+1</f>
        <v>2030</v>
      </c>
      <c r="P150" s="77"/>
      <c r="Q150" s="47"/>
    </row>
    <row r="151" spans="1:17">
      <c r="B151" s="15" t="str">
        <f>B16</f>
        <v>Fiscal year end date</v>
      </c>
      <c r="C151" s="43">
        <f>DATE(2024,8,29)-364</f>
        <v>45169</v>
      </c>
      <c r="D151" s="43">
        <f>DATE(2025,8,28)-364</f>
        <v>45533</v>
      </c>
      <c r="E151" s="43">
        <f>C10</f>
        <v>45897</v>
      </c>
      <c r="F151" s="43">
        <f>DATE(2025,8,28)+364</f>
        <v>46261</v>
      </c>
      <c r="G151" s="43">
        <f>DATE(2026,8,27)+364</f>
        <v>46625</v>
      </c>
      <c r="H151" s="43">
        <f>DATE(2027,8,26)+371</f>
        <v>46996</v>
      </c>
      <c r="I151" s="43">
        <f>DATE(2028,8,31)+364</f>
        <v>47360</v>
      </c>
      <c r="J151" s="43">
        <f>DATE(2029,8,30)+364</f>
        <v>47724</v>
      </c>
      <c r="P151" s="77"/>
    </row>
    <row r="152" spans="1:17">
      <c r="B152" s="29"/>
      <c r="C152" s="30"/>
      <c r="D152" s="30"/>
      <c r="E152" s="30"/>
      <c r="F152" s="78"/>
      <c r="G152" s="78"/>
      <c r="H152" s="78"/>
      <c r="I152" s="78"/>
      <c r="J152" s="78"/>
      <c r="P152" s="77"/>
    </row>
    <row r="153" spans="1:17">
      <c r="B153" s="31" t="s">
        <v>133</v>
      </c>
      <c r="C153" s="30">
        <f>-(C27)</f>
        <v>388</v>
      </c>
      <c r="D153" s="30">
        <f>-(D27)</f>
        <v>562</v>
      </c>
      <c r="E153" s="30">
        <f>-(E27)</f>
        <v>477</v>
      </c>
      <c r="F153" s="30">
        <f ca="1">F158+F165</f>
        <v>619.89249999999993</v>
      </c>
      <c r="G153" s="30">
        <f ca="1">G158+G165</f>
        <v>423.39249999999998</v>
      </c>
      <c r="H153" s="30">
        <f ca="1">H158+H165</f>
        <v>318.39249999999998</v>
      </c>
      <c r="I153" s="30">
        <f ca="1">I158+I165</f>
        <v>213.39249999999998</v>
      </c>
      <c r="J153" s="30">
        <f ca="1">J158+J165</f>
        <v>108.3925</v>
      </c>
      <c r="P153" s="47"/>
    </row>
    <row r="154" spans="1:17">
      <c r="B154" s="79"/>
      <c r="P154" s="47"/>
    </row>
    <row r="155" spans="1:17">
      <c r="B155" s="80" t="s">
        <v>92</v>
      </c>
      <c r="P155" s="47"/>
    </row>
    <row r="156" spans="1:17">
      <c r="B156" s="29" t="s">
        <v>93</v>
      </c>
      <c r="D156" s="81">
        <v>0.05</v>
      </c>
      <c r="E156" s="81">
        <v>0.05</v>
      </c>
      <c r="F156" s="81">
        <v>0.05</v>
      </c>
      <c r="G156" s="81">
        <v>0.05</v>
      </c>
      <c r="H156" s="81">
        <v>0.05</v>
      </c>
      <c r="I156" s="81">
        <v>0.05</v>
      </c>
      <c r="J156" s="81">
        <v>0.05</v>
      </c>
    </row>
    <row r="157" spans="1:17">
      <c r="B157" s="29" t="s">
        <v>94</v>
      </c>
      <c r="C157" s="52"/>
      <c r="D157" s="52">
        <f t="shared" ref="D157:J157" si="77">D63</f>
        <v>431</v>
      </c>
      <c r="E157" s="52">
        <f t="shared" si="77"/>
        <v>560</v>
      </c>
      <c r="F157" s="119">
        <f ca="1">F63</f>
        <v>50</v>
      </c>
      <c r="G157" s="119">
        <f t="shared" ca="1" si="77"/>
        <v>50</v>
      </c>
      <c r="H157" s="119">
        <f ca="1">H63</f>
        <v>50</v>
      </c>
      <c r="I157" s="119">
        <f t="shared" ca="1" si="77"/>
        <v>50</v>
      </c>
      <c r="J157" s="119">
        <f t="shared" ca="1" si="77"/>
        <v>50</v>
      </c>
    </row>
    <row r="158" spans="1:17">
      <c r="B158" s="82" t="s">
        <v>95</v>
      </c>
      <c r="C158" s="30"/>
      <c r="D158" s="44">
        <f>IF($C$7=1,AVERAGE(C157:D157)*D156,0)</f>
        <v>21.55</v>
      </c>
      <c r="E158" s="44">
        <f t="shared" ref="E158:J158" si="78">IF($C$7=1,AVERAGE(D157:E157)*E156,0)</f>
        <v>24.775000000000002</v>
      </c>
      <c r="F158" s="44">
        <f ca="1">IF($C$7=1,AVERAGE(E157:F157)*F156,0)</f>
        <v>15.25</v>
      </c>
      <c r="G158" s="44">
        <f ca="1">IF($C$7=1,AVERAGE(F157:G157)*G156,0)</f>
        <v>2.5</v>
      </c>
      <c r="H158" s="44">
        <f t="shared" ca="1" si="78"/>
        <v>2.5</v>
      </c>
      <c r="I158" s="44">
        <f t="shared" ca="1" si="78"/>
        <v>2.5</v>
      </c>
      <c r="J158" s="44">
        <f t="shared" ca="1" si="78"/>
        <v>2.5</v>
      </c>
    </row>
    <row r="159" spans="1:17">
      <c r="B159" s="83"/>
      <c r="C159" s="30"/>
      <c r="D159" s="30"/>
      <c r="E159" s="30"/>
    </row>
    <row r="160" spans="1:17">
      <c r="B160" s="80" t="s">
        <v>58</v>
      </c>
      <c r="C160" s="30"/>
      <c r="D160" s="30"/>
      <c r="E160" s="30"/>
    </row>
    <row r="161" spans="1:16">
      <c r="B161" s="29" t="s">
        <v>158</v>
      </c>
      <c r="C161" s="30"/>
      <c r="D161" s="30"/>
      <c r="E161" s="30"/>
      <c r="F161" s="30">
        <f>E64</f>
        <v>14017</v>
      </c>
      <c r="G161" s="30">
        <f>F163</f>
        <v>9017</v>
      </c>
      <c r="H161" s="30">
        <f t="shared" ref="H161:J161" si="79">G163</f>
        <v>7017</v>
      </c>
      <c r="I161" s="30">
        <f t="shared" si="79"/>
        <v>5017</v>
      </c>
      <c r="J161" s="30">
        <f t="shared" si="79"/>
        <v>3017</v>
      </c>
    </row>
    <row r="162" spans="1:16">
      <c r="B162" s="29" t="s">
        <v>157</v>
      </c>
      <c r="C162" s="30"/>
      <c r="D162" s="30"/>
      <c r="E162" s="30"/>
      <c r="F162" s="25">
        <v>-5000</v>
      </c>
      <c r="G162" s="25">
        <v>-2000</v>
      </c>
      <c r="H162" s="25">
        <v>-2000</v>
      </c>
      <c r="I162" s="25">
        <v>-2000</v>
      </c>
      <c r="J162" s="25">
        <v>-2000</v>
      </c>
    </row>
    <row r="163" spans="1:16">
      <c r="B163" s="29" t="s">
        <v>159</v>
      </c>
      <c r="C163" s="30"/>
      <c r="D163" s="30"/>
      <c r="E163" s="30"/>
      <c r="F163" s="30">
        <f>F161+F162</f>
        <v>9017</v>
      </c>
      <c r="G163" s="30">
        <f t="shared" ref="G163:J163" si="80">G161+G162</f>
        <v>7017</v>
      </c>
      <c r="H163" s="30">
        <f t="shared" si="80"/>
        <v>5017</v>
      </c>
      <c r="I163" s="30">
        <f t="shared" si="80"/>
        <v>3017</v>
      </c>
      <c r="J163" s="30">
        <f t="shared" si="80"/>
        <v>1017</v>
      </c>
    </row>
    <row r="164" spans="1:16">
      <c r="B164" s="29" t="s">
        <v>93</v>
      </c>
      <c r="C164" s="118"/>
      <c r="D164" s="120"/>
      <c r="E164" s="120"/>
      <c r="F164" s="260">
        <v>5.2499999999999998E-2</v>
      </c>
      <c r="G164" s="260">
        <v>5.2499999999999998E-2</v>
      </c>
      <c r="H164" s="260">
        <v>5.2499999999999998E-2</v>
      </c>
      <c r="I164" s="260">
        <v>5.2499999999999998E-2</v>
      </c>
      <c r="J164" s="260">
        <v>5.2499999999999998E-2</v>
      </c>
      <c r="P164" s="77"/>
    </row>
    <row r="165" spans="1:16">
      <c r="B165" s="82" t="s">
        <v>96</v>
      </c>
      <c r="C165" s="30"/>
      <c r="D165" s="44"/>
      <c r="E165" s="44"/>
      <c r="F165" s="44">
        <f>IF($C$7=1,F164*AVERAGE(F161,F163),0)</f>
        <v>604.64249999999993</v>
      </c>
      <c r="G165" s="44">
        <f t="shared" ref="G165:J165" si="81">IF($C$7=1,G164*AVERAGE(G161,G163),0)</f>
        <v>420.89249999999998</v>
      </c>
      <c r="H165" s="44">
        <f t="shared" si="81"/>
        <v>315.89249999999998</v>
      </c>
      <c r="I165" s="44">
        <f t="shared" si="81"/>
        <v>210.89249999999998</v>
      </c>
      <c r="J165" s="44">
        <f t="shared" si="81"/>
        <v>105.8925</v>
      </c>
      <c r="P165" s="77"/>
    </row>
    <row r="166" spans="1:16">
      <c r="D166" s="30"/>
    </row>
    <row r="167" spans="1:16">
      <c r="B167" s="79" t="s">
        <v>97</v>
      </c>
      <c r="D167" s="30"/>
      <c r="E167" s="30"/>
    </row>
    <row r="168" spans="1:16">
      <c r="B168" s="29" t="s">
        <v>134</v>
      </c>
      <c r="D168" s="30"/>
      <c r="E168" s="30"/>
      <c r="F168" s="30">
        <f ca="1">AVERAGE(E49:F49)</f>
        <v>23458.572865587692</v>
      </c>
      <c r="G168" s="30">
        <f ca="1">AVERAGE(F49:G49)</f>
        <v>67997.753605099177</v>
      </c>
      <c r="H168" s="30">
        <f ca="1">AVERAGE(G49:H49)</f>
        <v>133752.48168606206</v>
      </c>
      <c r="I168" s="30">
        <f ca="1">AVERAGE(H49:I49)</f>
        <v>197924.9088225493</v>
      </c>
      <c r="J168" s="30">
        <f ca="1">AVERAGE(I49:J49)</f>
        <v>260150.18211011044</v>
      </c>
    </row>
    <row r="169" spans="1:16">
      <c r="B169" s="29" t="s">
        <v>98</v>
      </c>
      <c r="C169" s="84"/>
      <c r="D169" s="84"/>
      <c r="E169" s="84"/>
      <c r="F169" s="84">
        <v>0.04</v>
      </c>
      <c r="G169" s="84">
        <v>0.04</v>
      </c>
      <c r="H169" s="84">
        <v>0.04</v>
      </c>
      <c r="I169" s="84">
        <v>0.04</v>
      </c>
      <c r="J169" s="84">
        <v>0.04</v>
      </c>
    </row>
    <row r="170" spans="1:16">
      <c r="B170" s="29" t="s">
        <v>16</v>
      </c>
      <c r="C170" s="30">
        <f>C26</f>
        <v>468</v>
      </c>
      <c r="D170" s="30">
        <f>D26</f>
        <v>529</v>
      </c>
      <c r="E170" s="30">
        <f>E26</f>
        <v>496</v>
      </c>
      <c r="F170" s="30">
        <f ca="1">IF($C$7=1,F169*F168,0)</f>
        <v>938.34291462350768</v>
      </c>
      <c r="G170" s="30">
        <f ca="1">IF($C$7=1,G169*G168,0)</f>
        <v>2719.9101442039673</v>
      </c>
      <c r="H170" s="30">
        <f t="shared" ref="H170:J170" ca="1" si="82">IF($C$7=1,H169*H168,0)</f>
        <v>5350.0992674424824</v>
      </c>
      <c r="I170" s="30">
        <f t="shared" ca="1" si="82"/>
        <v>7916.9963529019724</v>
      </c>
      <c r="J170" s="30">
        <f t="shared" ca="1" si="82"/>
        <v>10406.007284404417</v>
      </c>
    </row>
    <row r="172" spans="1:16">
      <c r="A172" s="1" t="s">
        <v>125</v>
      </c>
      <c r="B172" s="14" t="s">
        <v>112</v>
      </c>
      <c r="C172" s="14"/>
      <c r="D172" s="14"/>
      <c r="E172" s="14"/>
      <c r="F172" s="14"/>
      <c r="G172" s="14"/>
      <c r="H172" s="14"/>
      <c r="I172" s="14"/>
      <c r="J172" s="14"/>
      <c r="P172" s="1" t="s">
        <v>142</v>
      </c>
    </row>
    <row r="173" spans="1:16">
      <c r="B173" s="40" t="str">
        <f t="shared" ref="B173:J173" si="83">B15</f>
        <v xml:space="preserve">Fiscal year  </v>
      </c>
      <c r="C173" s="41">
        <f t="shared" si="83"/>
        <v>2023</v>
      </c>
      <c r="D173" s="41">
        <f t="shared" si="83"/>
        <v>2024</v>
      </c>
      <c r="E173" s="41">
        <f t="shared" si="83"/>
        <v>2025</v>
      </c>
      <c r="F173" s="42">
        <f t="shared" si="83"/>
        <v>2026</v>
      </c>
      <c r="G173" s="42">
        <f t="shared" si="83"/>
        <v>2027</v>
      </c>
      <c r="H173" s="42">
        <f t="shared" si="83"/>
        <v>2028</v>
      </c>
      <c r="I173" s="42">
        <f t="shared" si="83"/>
        <v>2029</v>
      </c>
      <c r="J173" s="42">
        <f t="shared" si="83"/>
        <v>2030</v>
      </c>
    </row>
    <row r="174" spans="1:16">
      <c r="B174" s="15" t="str">
        <f t="shared" ref="B174:J174" si="84">B16</f>
        <v>Fiscal year end date</v>
      </c>
      <c r="C174" s="43">
        <f t="shared" si="84"/>
        <v>45169</v>
      </c>
      <c r="D174" s="43">
        <f t="shared" si="84"/>
        <v>45533</v>
      </c>
      <c r="E174" s="43">
        <f t="shared" si="84"/>
        <v>45897</v>
      </c>
      <c r="F174" s="43">
        <f t="shared" si="84"/>
        <v>46261</v>
      </c>
      <c r="G174" s="43">
        <f t="shared" si="84"/>
        <v>46625</v>
      </c>
      <c r="H174" s="43">
        <f t="shared" si="84"/>
        <v>46996</v>
      </c>
      <c r="I174" s="43">
        <f t="shared" si="84"/>
        <v>47360</v>
      </c>
      <c r="J174" s="43">
        <f t="shared" si="84"/>
        <v>47724</v>
      </c>
    </row>
    <row r="175" spans="1:16">
      <c r="F175" s="36"/>
      <c r="G175" s="36"/>
      <c r="H175" s="36"/>
      <c r="I175" s="34"/>
      <c r="J175" s="34"/>
    </row>
    <row r="176" spans="1:16">
      <c r="B176" s="1" t="s">
        <v>21</v>
      </c>
      <c r="C176" s="30">
        <f t="shared" ref="C176:J176" si="85">C31</f>
        <v>-5835</v>
      </c>
      <c r="D176" s="30">
        <f t="shared" si="85"/>
        <v>789</v>
      </c>
      <c r="E176" s="30">
        <f t="shared" si="85"/>
        <v>8530</v>
      </c>
      <c r="F176" s="30">
        <f t="shared" ca="1" si="85"/>
        <v>59327.715034803427</v>
      </c>
      <c r="G176" s="30">
        <f t="shared" ca="1" si="85"/>
        <v>91635.622727689508</v>
      </c>
      <c r="H176" s="30">
        <f t="shared" ca="1" si="85"/>
        <v>74684.662637329573</v>
      </c>
      <c r="I176" s="30">
        <f t="shared" ca="1" si="85"/>
        <v>66294.852927867556</v>
      </c>
      <c r="J176" s="30">
        <f t="shared" ca="1" si="85"/>
        <v>66553.570367481094</v>
      </c>
    </row>
    <row r="177" spans="1:10">
      <c r="B177" s="1" t="s">
        <v>113</v>
      </c>
      <c r="C177" s="25">
        <v>1093</v>
      </c>
      <c r="D177" s="25">
        <v>1105</v>
      </c>
      <c r="E177" s="25">
        <v>1116</v>
      </c>
      <c r="F177" s="30">
        <f ca="1">E177-(F183+F184)/F186</f>
        <v>1115.7933090800343</v>
      </c>
      <c r="G177" s="30">
        <f ca="1">F177-(G183+G184)/G186</f>
        <v>1115.7688825675227</v>
      </c>
      <c r="H177" s="30">
        <f ca="1">G177-(H183+H184)/H186</f>
        <v>1115.8697130203116</v>
      </c>
      <c r="I177" s="30">
        <f ca="1">H177-(I183+I184)/I186</f>
        <v>1116.106311593976</v>
      </c>
      <c r="J177" s="30">
        <f ca="1">I177-(J183+J184)/J186</f>
        <v>1116.449503410648</v>
      </c>
    </row>
    <row r="178" spans="1:10">
      <c r="B178" s="27" t="s">
        <v>114</v>
      </c>
      <c r="C178" s="85">
        <f>C176/C177</f>
        <v>-5.3385178408051237</v>
      </c>
      <c r="D178" s="85">
        <f t="shared" ref="D178:J178" si="86">D176/D177</f>
        <v>0.71402714932126699</v>
      </c>
      <c r="E178" s="85">
        <f>E176/E177</f>
        <v>7.6433691756272397</v>
      </c>
      <c r="F178" s="85">
        <f ca="1">F176/F177</f>
        <v>53.170882592689871</v>
      </c>
      <c r="G178" s="85">
        <f t="shared" ca="1" si="86"/>
        <v>82.127781263109398</v>
      </c>
      <c r="H178" s="85">
        <f t="shared" ca="1" si="86"/>
        <v>66.929554378872297</v>
      </c>
      <c r="I178" s="85">
        <f t="shared" ca="1" si="86"/>
        <v>59.398331717332589</v>
      </c>
      <c r="J178" s="85">
        <f t="shared" ca="1" si="86"/>
        <v>59.611805248841264</v>
      </c>
    </row>
    <row r="179" spans="1:10">
      <c r="C179" s="25"/>
      <c r="D179" s="25"/>
      <c r="E179" s="25"/>
      <c r="F179" s="30"/>
    </row>
    <row r="180" spans="1:10">
      <c r="B180" s="1" t="s">
        <v>115</v>
      </c>
      <c r="C180" s="26">
        <f>C177</f>
        <v>1093</v>
      </c>
      <c r="D180" s="26">
        <f>D177+13</f>
        <v>1118</v>
      </c>
      <c r="E180" s="26">
        <f t="shared" ref="E180" si="87">E177+9</f>
        <v>1125</v>
      </c>
      <c r="F180" s="30">
        <f ca="1">(E180-E177)+F177</f>
        <v>1124.7933090800343</v>
      </c>
      <c r="G180" s="30">
        <f ca="1">(F180-F177)+G177</f>
        <v>1124.7688825675227</v>
      </c>
      <c r="H180" s="30">
        <f ca="1">(G180-G177)+H177</f>
        <v>1124.8697130203116</v>
      </c>
      <c r="I180" s="30">
        <f ca="1">(H180-H177)+I177</f>
        <v>1125.106311593976</v>
      </c>
      <c r="J180" s="30">
        <f ca="1">(I180-I177)+J177</f>
        <v>1125.449503410648</v>
      </c>
    </row>
    <row r="181" spans="1:10">
      <c r="B181" s="27" t="s">
        <v>116</v>
      </c>
      <c r="C181" s="85">
        <f t="shared" ref="C181:J181" si="88">C176/C180</f>
        <v>-5.3385178408051237</v>
      </c>
      <c r="D181" s="85">
        <f t="shared" si="88"/>
        <v>0.70572450805008946</v>
      </c>
      <c r="E181" s="85">
        <f>E176/E180</f>
        <v>7.5822222222222226</v>
      </c>
      <c r="F181" s="85">
        <f ca="1">F176/F180</f>
        <v>52.745437366912697</v>
      </c>
      <c r="G181" s="85">
        <f t="shared" ca="1" si="88"/>
        <v>81.470624008117852</v>
      </c>
      <c r="H181" s="85">
        <f t="shared" ca="1" si="88"/>
        <v>66.394055927418336</v>
      </c>
      <c r="I181" s="85">
        <f t="shared" ca="1" si="88"/>
        <v>58.923189964106953</v>
      </c>
      <c r="J181" s="85">
        <f t="shared" ca="1" si="88"/>
        <v>59.135101278015654</v>
      </c>
    </row>
    <row r="182" spans="1:10">
      <c r="F182" s="86"/>
    </row>
    <row r="183" spans="1:10">
      <c r="B183" s="1" t="s">
        <v>117</v>
      </c>
      <c r="F183" s="25">
        <v>1200</v>
      </c>
      <c r="G183" s="25">
        <v>1200</v>
      </c>
      <c r="H183" s="25">
        <v>1200</v>
      </c>
      <c r="I183" s="25">
        <v>1200</v>
      </c>
      <c r="J183" s="25">
        <v>1200</v>
      </c>
    </row>
    <row r="184" spans="1:10">
      <c r="B184" s="1" t="s">
        <v>118</v>
      </c>
      <c r="C184" s="87"/>
      <c r="F184" s="30">
        <f>-(F35)</f>
        <v>-1069.2</v>
      </c>
      <c r="G184" s="30">
        <f>-(G35)</f>
        <v>-1176.1200000000001</v>
      </c>
      <c r="H184" s="30">
        <f>-(H35)</f>
        <v>-1293.7320000000002</v>
      </c>
      <c r="I184" s="30">
        <f>-(I35)</f>
        <v>-1423.1052000000004</v>
      </c>
      <c r="J184" s="30">
        <f>-(J35)</f>
        <v>-1565.4157200000006</v>
      </c>
    </row>
    <row r="185" spans="1:10">
      <c r="B185" s="1" t="s">
        <v>144</v>
      </c>
      <c r="F185" s="261">
        <v>12</v>
      </c>
      <c r="G185" s="261">
        <v>12</v>
      </c>
      <c r="H185" s="261">
        <v>14</v>
      </c>
      <c r="I185" s="261">
        <v>16</v>
      </c>
      <c r="J185" s="261">
        <v>18</v>
      </c>
    </row>
    <row r="186" spans="1:10">
      <c r="B186" s="1" t="s">
        <v>147</v>
      </c>
      <c r="E186" s="86"/>
      <c r="F186" s="264">
        <f ca="1">F185*F176/E180</f>
        <v>632.82896037123658</v>
      </c>
      <c r="G186" s="264">
        <f t="shared" ref="G186:I186" ca="1" si="89">G185*G176/F180</f>
        <v>977.62625706909364</v>
      </c>
      <c r="H186" s="264">
        <f ca="1">H185*H176/G180</f>
        <v>929.60010996734252</v>
      </c>
      <c r="I186" s="264">
        <f t="shared" ca="1" si="89"/>
        <v>942.96933642014392</v>
      </c>
      <c r="J186" s="264">
        <f ca="1">J185*J176/I180</f>
        <v>1064.7565072472692</v>
      </c>
    </row>
    <row r="187" spans="1:10">
      <c r="G187" s="88"/>
      <c r="H187" s="88"/>
      <c r="I187" s="88"/>
      <c r="J187" s="88"/>
    </row>
    <row r="188" spans="1:10">
      <c r="B188" s="89"/>
      <c r="C188" s="60"/>
      <c r="D188" s="60"/>
      <c r="E188" s="60"/>
      <c r="F188" s="60"/>
      <c r="G188" s="60"/>
    </row>
    <row r="189" spans="1:10">
      <c r="A189" s="1" t="s">
        <v>125</v>
      </c>
      <c r="B189" s="14" t="s">
        <v>99</v>
      </c>
      <c r="C189" s="14"/>
      <c r="D189" s="14"/>
      <c r="E189" s="14"/>
      <c r="F189" s="14"/>
      <c r="G189" s="14"/>
      <c r="H189" s="14"/>
      <c r="I189" s="14"/>
      <c r="J189" s="14"/>
    </row>
    <row r="190" spans="1:10">
      <c r="B190" s="27"/>
    </row>
    <row r="191" spans="1:10" ht="15" thickBot="1">
      <c r="B191" s="90" t="s">
        <v>146</v>
      </c>
      <c r="C191" s="91"/>
      <c r="D191" s="91"/>
      <c r="E191" s="91"/>
      <c r="F191" s="91"/>
      <c r="G191" s="91"/>
      <c r="H191" s="91"/>
    </row>
    <row r="192" spans="1:10">
      <c r="C192" s="27"/>
      <c r="D192" s="92" t="s">
        <v>100</v>
      </c>
      <c r="E192" s="93"/>
      <c r="F192" s="93"/>
      <c r="G192" s="93"/>
      <c r="H192" s="93"/>
    </row>
    <row r="193" spans="2:8" ht="15" thickBot="1">
      <c r="C193" s="94">
        <f ca="1">F31</f>
        <v>59327.715034803427</v>
      </c>
      <c r="D193" s="273">
        <v>1.8</v>
      </c>
      <c r="E193" s="273">
        <v>1.9</v>
      </c>
      <c r="F193" s="95">
        <v>1.976</v>
      </c>
      <c r="G193" s="273">
        <v>2.0499999999999998</v>
      </c>
      <c r="H193" s="273">
        <v>2.15</v>
      </c>
    </row>
    <row r="194" spans="2:8">
      <c r="B194" s="96"/>
      <c r="C194" s="275">
        <v>0.85</v>
      </c>
      <c r="D194" s="276">
        <f t="dataTable" ref="D194:H199" dt2D="1" dtr="1" r1="F39" r2="F40" ca="1"/>
        <v>64667.242677869493</v>
      </c>
      <c r="E194" s="276">
        <v>66989.630777907587</v>
      </c>
      <c r="F194" s="276">
        <v>68754.645733935278</v>
      </c>
      <c r="G194" s="276">
        <v>70473.212927962115</v>
      </c>
      <c r="H194" s="276">
        <v>72795.601027998258</v>
      </c>
    </row>
    <row r="195" spans="2:8">
      <c r="B195" s="99" t="s">
        <v>101</v>
      </c>
      <c r="C195" s="275">
        <v>0.8</v>
      </c>
      <c r="D195" s="276">
        <v>60228.654826567865</v>
      </c>
      <c r="E195" s="276">
        <v>62392.521931914205</v>
      </c>
      <c r="F195" s="276">
        <v>64037.060931977911</v>
      </c>
      <c r="G195" s="276">
        <v>65638.322589934571</v>
      </c>
      <c r="H195" s="276">
        <v>67802.189695281282</v>
      </c>
    </row>
    <row r="196" spans="2:8">
      <c r="B196" s="99" t="s">
        <v>102</v>
      </c>
      <c r="C196" s="97">
        <v>0.75</v>
      </c>
      <c r="D196" s="276">
        <v>55790.06697526382</v>
      </c>
      <c r="E196" s="276">
        <v>57795.413085920802</v>
      </c>
      <c r="F196" s="276">
        <v>59319.476130020514</v>
      </c>
      <c r="G196" s="276">
        <v>60803.432251906997</v>
      </c>
      <c r="H196" s="276">
        <v>62808.778362564299</v>
      </c>
    </row>
    <row r="197" spans="2:8">
      <c r="B197" s="99" t="s">
        <v>103</v>
      </c>
      <c r="C197" s="275">
        <v>0.7</v>
      </c>
      <c r="D197" s="276">
        <v>51351.479123959798</v>
      </c>
      <c r="E197" s="276">
        <v>53198.304239927398</v>
      </c>
      <c r="F197" s="276">
        <v>54601.891328063146</v>
      </c>
      <c r="G197" s="276">
        <v>55968.541913879439</v>
      </c>
      <c r="H197" s="276">
        <v>57815.36702984733</v>
      </c>
    </row>
    <row r="198" spans="2:8">
      <c r="C198" s="275">
        <v>0.65</v>
      </c>
      <c r="D198" s="276">
        <v>46912.891272655768</v>
      </c>
      <c r="E198" s="276">
        <v>48601.195393934009</v>
      </c>
      <c r="F198" s="276">
        <v>49884.306526105764</v>
      </c>
      <c r="G198" s="276">
        <v>51133.65157585188</v>
      </c>
      <c r="H198" s="276">
        <v>52821.955697130361</v>
      </c>
    </row>
    <row r="199" spans="2:8">
      <c r="C199" s="275">
        <v>0.6</v>
      </c>
      <c r="D199" s="276">
        <v>42474.303421351746</v>
      </c>
      <c r="E199" s="276">
        <v>44004.086547940606</v>
      </c>
      <c r="F199" s="276">
        <v>45166.721724148381</v>
      </c>
      <c r="G199" s="276">
        <v>46298.761237824321</v>
      </c>
      <c r="H199" s="276">
        <v>47828.544364413377</v>
      </c>
    </row>
    <row r="200" spans="2:8">
      <c r="C200" s="100"/>
      <c r="D200" s="98"/>
      <c r="E200" s="98"/>
      <c r="F200" s="98"/>
      <c r="G200" s="98"/>
      <c r="H200" s="98"/>
    </row>
    <row r="201" spans="2:8" ht="15" thickBot="1">
      <c r="B201" s="90" t="s">
        <v>153</v>
      </c>
      <c r="C201" s="90"/>
      <c r="D201" s="90"/>
      <c r="E201" s="90"/>
      <c r="F201" s="90"/>
      <c r="G201" s="90"/>
      <c r="H201" s="90"/>
    </row>
    <row r="202" spans="2:8">
      <c r="C202" s="100"/>
      <c r="D202" s="101" t="s">
        <v>145</v>
      </c>
      <c r="E202" s="102"/>
      <c r="F202" s="102"/>
      <c r="G202" s="102"/>
      <c r="H202" s="102"/>
    </row>
    <row r="203" spans="2:8" ht="15" thickBot="1">
      <c r="C203" s="103">
        <f ca="1">F181</f>
        <v>52.745437366912697</v>
      </c>
      <c r="D203" s="273">
        <v>1.8</v>
      </c>
      <c r="E203" s="273">
        <v>1.9</v>
      </c>
      <c r="F203" s="95">
        <v>1.976</v>
      </c>
      <c r="G203" s="273">
        <v>2.0499999999999998</v>
      </c>
      <c r="H203" s="273">
        <v>2.15</v>
      </c>
    </row>
    <row r="204" spans="2:8">
      <c r="C204" s="275">
        <v>0.85</v>
      </c>
      <c r="D204" s="274">
        <f t="dataTable" ref="D204:H209" dt2D="1" dtr="1" r1="F39" r2="F40" ca="1"/>
        <v>57.491684013716352</v>
      </c>
      <c r="E204" s="274">
        <v>59.556028934892694</v>
      </c>
      <c r="F204" s="274">
        <v>61.124931077544851</v>
      </c>
      <c r="G204" s="274">
        <v>62.652546323654853</v>
      </c>
      <c r="H204" s="274">
        <v>64.716891253641592</v>
      </c>
    </row>
    <row r="205" spans="2:8">
      <c r="B205" s="99" t="s">
        <v>101</v>
      </c>
      <c r="C205" s="275">
        <v>0.8</v>
      </c>
      <c r="D205" s="274">
        <v>53.546272710732445</v>
      </c>
      <c r="E205" s="274">
        <v>55.469710076872495</v>
      </c>
      <c r="F205" s="274">
        <v>56.931522477889452</v>
      </c>
      <c r="G205" s="274">
        <v>58.354866133605185</v>
      </c>
      <c r="H205" s="274">
        <v>60.278303509214503</v>
      </c>
    </row>
    <row r="206" spans="2:8">
      <c r="B206" s="99" t="s">
        <v>102</v>
      </c>
      <c r="C206" s="97">
        <v>0.75</v>
      </c>
      <c r="D206" s="274">
        <v>49.600861426907144</v>
      </c>
      <c r="E206" s="274">
        <v>51.383391237340476</v>
      </c>
      <c r="F206" s="274">
        <v>52.738113896241877</v>
      </c>
      <c r="G206" s="274">
        <v>54.057185961119004</v>
      </c>
      <c r="H206" s="274">
        <v>55.839715781784172</v>
      </c>
    </row>
    <row r="207" spans="2:8">
      <c r="B207" s="99" t="s">
        <v>103</v>
      </c>
      <c r="C207" s="275">
        <v>0.7</v>
      </c>
      <c r="D207" s="274">
        <v>45.655450167212152</v>
      </c>
      <c r="E207" s="274">
        <v>47.297072421090633</v>
      </c>
      <c r="F207" s="274">
        <v>48.544705337270727</v>
      </c>
      <c r="G207" s="274">
        <v>49.759505810748948</v>
      </c>
      <c r="H207" s="274">
        <v>51.401128075755395</v>
      </c>
    </row>
    <row r="208" spans="2:8">
      <c r="C208" s="275">
        <v>0.65</v>
      </c>
      <c r="D208" s="274">
        <v>41.710038938498201</v>
      </c>
      <c r="E208" s="274">
        <v>43.210753634731084</v>
      </c>
      <c r="F208" s="274">
        <v>44.351296807410904</v>
      </c>
      <c r="G208" s="274">
        <v>45.461825688769835</v>
      </c>
      <c r="H208" s="274">
        <v>46.962540397198836</v>
      </c>
    </row>
    <row r="209" spans="1:16">
      <c r="C209" s="275">
        <v>0.6</v>
      </c>
      <c r="D209" s="274">
        <v>37.7646277504804</v>
      </c>
      <c r="E209" s="274">
        <v>39.12443488763207</v>
      </c>
      <c r="F209" s="274">
        <v>40.157888315786529</v>
      </c>
      <c r="G209" s="274">
        <v>41.164145604078207</v>
      </c>
      <c r="H209" s="274">
        <v>42.523952754720952</v>
      </c>
      <c r="I209" s="256"/>
      <c r="J209" s="256"/>
      <c r="K209" s="256"/>
      <c r="L209" s="256"/>
      <c r="M209" s="256"/>
      <c r="N209" s="256"/>
      <c r="O209" s="256"/>
    </row>
    <row r="211" spans="1:16">
      <c r="A211" s="1" t="s">
        <v>125</v>
      </c>
      <c r="B211" s="14" t="s">
        <v>104</v>
      </c>
      <c r="C211" s="14"/>
      <c r="D211" s="14"/>
      <c r="E211" s="14"/>
      <c r="F211" s="14"/>
      <c r="G211" s="14"/>
      <c r="H211" s="14"/>
      <c r="I211" s="14"/>
      <c r="J211" s="14"/>
    </row>
    <row r="212" spans="1:16" ht="15" thickBot="1"/>
    <row r="213" spans="1:16" ht="15" thickBot="1">
      <c r="B213" s="1" t="s">
        <v>105</v>
      </c>
      <c r="C213" s="104" t="str">
        <f>C12</f>
        <v>Base Case</v>
      </c>
    </row>
    <row r="214" spans="1:16" ht="15" thickBot="1">
      <c r="C214" s="105"/>
    </row>
    <row r="215" spans="1:16">
      <c r="C215" s="41"/>
      <c r="D215" s="41"/>
      <c r="E215" s="116" t="s">
        <v>106</v>
      </c>
      <c r="F215" s="42">
        <f t="shared" ref="F215:J216" si="90">F15</f>
        <v>2026</v>
      </c>
      <c r="G215" s="42">
        <f t="shared" si="90"/>
        <v>2027</v>
      </c>
      <c r="H215" s="42">
        <f t="shared" si="90"/>
        <v>2028</v>
      </c>
      <c r="I215" s="42">
        <f t="shared" si="90"/>
        <v>2029</v>
      </c>
      <c r="J215" s="42">
        <f t="shared" si="90"/>
        <v>2030</v>
      </c>
    </row>
    <row r="216" spans="1:16" ht="15" thickBot="1">
      <c r="C216" s="43"/>
      <c r="D216" s="43"/>
      <c r="E216" s="117" t="s">
        <v>107</v>
      </c>
      <c r="F216" s="43">
        <f t="shared" si="90"/>
        <v>46261</v>
      </c>
      <c r="G216" s="43">
        <f t="shared" si="90"/>
        <v>46625</v>
      </c>
      <c r="H216" s="43">
        <f t="shared" si="90"/>
        <v>46996</v>
      </c>
      <c r="I216" s="43">
        <f t="shared" si="90"/>
        <v>47360</v>
      </c>
      <c r="J216" s="43">
        <f t="shared" si="90"/>
        <v>47724</v>
      </c>
    </row>
    <row r="217" spans="1:16" ht="15" thickBot="1">
      <c r="B217" s="29" t="s">
        <v>140</v>
      </c>
      <c r="C217" s="30"/>
      <c r="D217" s="30"/>
      <c r="E217" s="106" t="str">
        <f t="shared" ref="E217:J218" ca="1" si="91">OFFSET(E$225,MATCH($B217,$B$225:$B$244,0)+MATCH($C$213,$B$226:$B$228,0)-1,0)</f>
        <v>NM</v>
      </c>
      <c r="F217" s="30">
        <f ca="1">OFFSET(F$225,MATCH($B217,$B$225:$B$244,0)+MATCH($C$213,$B$226:$B$228,0)-1,0)</f>
        <v>88269.329999999987</v>
      </c>
      <c r="G217" s="30">
        <f t="shared" ca="1" si="91"/>
        <v>127107.83519999997</v>
      </c>
      <c r="H217" s="30">
        <f t="shared" ca="1" si="91"/>
        <v>128887.34489279997</v>
      </c>
      <c r="I217" s="30">
        <f t="shared" ca="1" si="91"/>
        <v>120831.88583699998</v>
      </c>
      <c r="J217" s="30">
        <f t="shared" ca="1" si="91"/>
        <v>130498.43670395999</v>
      </c>
      <c r="L217" s="107"/>
      <c r="M217" s="107"/>
      <c r="N217" s="107"/>
    </row>
    <row r="218" spans="1:16">
      <c r="B218" s="29" t="s">
        <v>141</v>
      </c>
      <c r="C218" s="30"/>
      <c r="D218" s="30"/>
      <c r="E218" s="106" t="str">
        <f t="shared" ca="1" si="91"/>
        <v>NM</v>
      </c>
      <c r="F218" s="30">
        <f t="shared" ca="1" si="91"/>
        <v>22100</v>
      </c>
      <c r="G218" s="30">
        <f t="shared" ca="1" si="91"/>
        <v>30497.999999999996</v>
      </c>
      <c r="H218" s="30">
        <f t="shared" ca="1" si="91"/>
        <v>29735.55</v>
      </c>
      <c r="I218" s="30">
        <f t="shared" ca="1" si="91"/>
        <v>27877.078125</v>
      </c>
      <c r="J218" s="30">
        <f t="shared" ca="1" si="91"/>
        <v>30107.244375000002</v>
      </c>
      <c r="L218" s="249" t="s">
        <v>247</v>
      </c>
      <c r="M218" s="250"/>
      <c r="N218" s="250"/>
      <c r="O218" s="251"/>
      <c r="P218" s="252"/>
    </row>
    <row r="219" spans="1:16" ht="15" thickBot="1">
      <c r="B219" s="29" t="s">
        <v>143</v>
      </c>
      <c r="C219" s="30"/>
      <c r="D219" s="30"/>
      <c r="E219" s="106" t="str">
        <f ca="1">IFERROR(OFFSET(E$226,MATCH($B219,$B$225:$B$244,0)+MATCH($C$213,$B$226:$B$228,0)-1,0),"N/A")</f>
        <v>N/A</v>
      </c>
      <c r="F219" s="30">
        <f ca="1">SUM(F217:F218)*(1+L219)</f>
        <v>111252.28463999998</v>
      </c>
      <c r="G219" s="30">
        <f t="shared" ref="G219:J219" ca="1" si="92">SUM(G217:G218)*(1+M219)</f>
        <v>157605.83519999997</v>
      </c>
      <c r="H219" s="30">
        <f t="shared" ca="1" si="92"/>
        <v>158622.89489279996</v>
      </c>
      <c r="I219" s="30">
        <f t="shared" ca="1" si="92"/>
        <v>148708.96396199998</v>
      </c>
      <c r="J219" s="30">
        <f t="shared" ca="1" si="92"/>
        <v>160605.68107895998</v>
      </c>
      <c r="L219" s="262">
        <v>8.0000000000000002E-3</v>
      </c>
      <c r="M219" s="253"/>
      <c r="N219" s="253"/>
      <c r="O219" s="254"/>
      <c r="P219" s="255"/>
    </row>
    <row r="220" spans="1:16">
      <c r="B220" s="29" t="s">
        <v>100</v>
      </c>
      <c r="C220" s="29"/>
      <c r="D220" s="29"/>
      <c r="E220" s="106" t="str">
        <f ca="1">IFERROR(OFFSET(E$226,MATCH($B220,$B$225:$B$244,0)+MATCH($C$213,$B$226:$B$228,0)-1,0),"N/A")</f>
        <v>N/A</v>
      </c>
      <c r="F220" s="54">
        <f ca="1">(F219/E18)-1</f>
        <v>1.9764108470223123</v>
      </c>
      <c r="G220" s="54">
        <f ca="1">G219/F219-1</f>
        <v>0.41665257221453844</v>
      </c>
      <c r="H220" s="54">
        <f t="shared" ref="H220:J220" ca="1" si="93">H219/G219-1</f>
        <v>6.4531855150500306E-3</v>
      </c>
      <c r="I220" s="54">
        <f t="shared" ca="1" si="93"/>
        <v>-6.2499999999999889E-2</v>
      </c>
      <c r="J220" s="54">
        <f t="shared" ca="1" si="93"/>
        <v>8.0000000000000071E-2</v>
      </c>
      <c r="L220" s="107"/>
      <c r="M220" s="107"/>
      <c r="N220" s="107"/>
    </row>
    <row r="221" spans="1:16">
      <c r="B221" s="29" t="s">
        <v>28</v>
      </c>
      <c r="E221" s="106" t="str">
        <f t="shared" ref="E221:J223" ca="1" si="94">OFFSET(E$225,MATCH($B221,$B$225:$B$244,0)+MATCH($C$213,$B$226:$B$228,0)-1,0)</f>
        <v>NM</v>
      </c>
      <c r="F221" s="54">
        <f t="shared" ca="1" si="94"/>
        <v>0.75</v>
      </c>
      <c r="G221" s="54">
        <f t="shared" ca="1" si="94"/>
        <v>0.8</v>
      </c>
      <c r="H221" s="54">
        <f t="shared" ca="1" si="94"/>
        <v>0.65</v>
      </c>
      <c r="I221" s="54">
        <f t="shared" ca="1" si="94"/>
        <v>0.6</v>
      </c>
      <c r="J221" s="54">
        <f t="shared" ca="1" si="94"/>
        <v>0.55000000000000004</v>
      </c>
      <c r="L221" s="107"/>
      <c r="M221" s="107"/>
      <c r="N221" s="107"/>
    </row>
    <row r="222" spans="1:16">
      <c r="B222" s="29" t="s">
        <v>29</v>
      </c>
      <c r="E222" s="106" t="str">
        <f t="shared" ca="1" si="94"/>
        <v>NM</v>
      </c>
      <c r="F222" s="54">
        <f t="shared" ca="1" si="94"/>
        <v>8.7999999999999995E-2</v>
      </c>
      <c r="G222" s="54">
        <f t="shared" ca="1" si="94"/>
        <v>9.2399999999999996E-2</v>
      </c>
      <c r="H222" s="54">
        <f t="shared" ca="1" si="94"/>
        <v>9.1999999999999998E-2</v>
      </c>
      <c r="I222" s="54">
        <f t="shared" ca="1" si="94"/>
        <v>9.1999999999999998E-2</v>
      </c>
      <c r="J222" s="54">
        <f t="shared" ca="1" si="94"/>
        <v>9.1999999999999998E-2</v>
      </c>
      <c r="L222" s="107"/>
      <c r="M222" s="107"/>
      <c r="N222" s="107"/>
    </row>
    <row r="223" spans="1:16">
      <c r="B223" s="29" t="s">
        <v>30</v>
      </c>
      <c r="E223" s="106" t="str">
        <f t="shared" ca="1" si="94"/>
        <v>NM</v>
      </c>
      <c r="F223" s="54">
        <f t="shared" ca="1" si="94"/>
        <v>2.5000000000000001E-2</v>
      </c>
      <c r="G223" s="54">
        <f t="shared" ca="1" si="94"/>
        <v>2.5000000000000001E-2</v>
      </c>
      <c r="H223" s="54">
        <f t="shared" ca="1" si="94"/>
        <v>2.5000000000000001E-2</v>
      </c>
      <c r="I223" s="54">
        <f t="shared" ca="1" si="94"/>
        <v>2.5000000000000001E-2</v>
      </c>
      <c r="J223" s="54">
        <f t="shared" ca="1" si="94"/>
        <v>2.5000000000000001E-2</v>
      </c>
      <c r="L223" s="107"/>
      <c r="M223" s="107"/>
      <c r="N223" s="107"/>
    </row>
    <row r="224" spans="1:16">
      <c r="E224" s="108"/>
    </row>
    <row r="225" spans="2:20">
      <c r="B225" s="53" t="s">
        <v>140</v>
      </c>
      <c r="E225" s="109"/>
    </row>
    <row r="226" spans="2:20">
      <c r="B226" s="83" t="s">
        <v>108</v>
      </c>
      <c r="E226" s="110">
        <v>1.1000000000000001</v>
      </c>
      <c r="F226" s="30">
        <f>F227*$E$226</f>
        <v>97096.262999999992</v>
      </c>
      <c r="G226" s="30">
        <f>G227*$E$226</f>
        <v>139818.61871999997</v>
      </c>
      <c r="H226" s="30">
        <f t="shared" ref="H226:J226" si="95">H227*$E$226</f>
        <v>141776.07938207997</v>
      </c>
      <c r="I226" s="30">
        <f t="shared" si="95"/>
        <v>132915.0744207</v>
      </c>
      <c r="J226" s="30">
        <f t="shared" si="95"/>
        <v>143548.28037435599</v>
      </c>
      <c r="R226" s="47"/>
      <c r="S226" s="47"/>
      <c r="T226" s="47"/>
    </row>
    <row r="227" spans="2:20">
      <c r="B227" s="83" t="s">
        <v>109</v>
      </c>
      <c r="E227" s="111" t="s">
        <v>110</v>
      </c>
      <c r="F227" s="112">
        <f>'Revenue Build'!G8</f>
        <v>88269.329999999987</v>
      </c>
      <c r="G227" s="112">
        <f>'Revenue Build'!H8</f>
        <v>127107.83519999997</v>
      </c>
      <c r="H227" s="112">
        <f>'Revenue Build'!I8</f>
        <v>128887.34489279997</v>
      </c>
      <c r="I227" s="112">
        <f>'Revenue Build'!J8</f>
        <v>120831.88583699998</v>
      </c>
      <c r="J227" s="112">
        <f>'Revenue Build'!K8</f>
        <v>130498.43670395999</v>
      </c>
      <c r="K227" s="33"/>
      <c r="M227" s="36"/>
      <c r="N227" s="36"/>
      <c r="O227" s="36"/>
      <c r="P227" s="36"/>
      <c r="Q227" s="36"/>
      <c r="R227" s="47"/>
      <c r="S227" s="47"/>
      <c r="T227" s="47"/>
    </row>
    <row r="228" spans="2:20">
      <c r="B228" s="83" t="s">
        <v>111</v>
      </c>
      <c r="E228" s="110">
        <v>0.75</v>
      </c>
      <c r="F228" s="30">
        <f>F227*$E$228</f>
        <v>66201.997499999998</v>
      </c>
      <c r="G228" s="30">
        <f>G227*$E$228</f>
        <v>95330.876399999979</v>
      </c>
      <c r="H228" s="30">
        <f>H227*$E$228</f>
        <v>96665.508669599978</v>
      </c>
      <c r="I228" s="30">
        <f>I227*$E$228</f>
        <v>90623.914377749985</v>
      </c>
      <c r="J228" s="30">
        <f>J227*$E$228</f>
        <v>97873.827527969988</v>
      </c>
      <c r="M228" s="36"/>
      <c r="N228" s="36"/>
      <c r="O228" s="36"/>
      <c r="P228" s="36"/>
      <c r="Q228" s="36"/>
      <c r="R228" s="47"/>
      <c r="S228" s="47"/>
      <c r="T228" s="47"/>
    </row>
    <row r="229" spans="2:20">
      <c r="B229" s="32" t="s">
        <v>141</v>
      </c>
      <c r="E229" s="113"/>
      <c r="F229" s="34"/>
      <c r="G229" s="34"/>
      <c r="H229" s="34"/>
      <c r="I229" s="34"/>
      <c r="J229" s="34"/>
      <c r="M229" s="36"/>
      <c r="N229" s="36"/>
      <c r="O229" s="36"/>
      <c r="P229" s="36"/>
      <c r="Q229" s="36"/>
      <c r="R229" s="47"/>
      <c r="S229" s="47"/>
      <c r="T229" s="47"/>
    </row>
    <row r="230" spans="2:20">
      <c r="B230" s="83" t="s">
        <v>108</v>
      </c>
      <c r="E230" s="110">
        <v>1.1000000000000001</v>
      </c>
      <c r="F230" s="30">
        <f>F231*$E$230</f>
        <v>24310.000000000004</v>
      </c>
      <c r="G230" s="30">
        <f>G231*$E$230</f>
        <v>33547.799999999996</v>
      </c>
      <c r="H230" s="30">
        <f t="shared" ref="H230:J230" si="96">H231*$E$230</f>
        <v>32709.105000000003</v>
      </c>
      <c r="I230" s="30">
        <f t="shared" si="96"/>
        <v>30664.785937500001</v>
      </c>
      <c r="J230" s="30">
        <f t="shared" si="96"/>
        <v>33117.968812500003</v>
      </c>
      <c r="M230" s="36"/>
      <c r="N230" s="36"/>
      <c r="O230" s="36"/>
      <c r="P230" s="36"/>
      <c r="Q230" s="36"/>
    </row>
    <row r="231" spans="2:20">
      <c r="B231" s="83" t="s">
        <v>109</v>
      </c>
      <c r="E231" s="111" t="s">
        <v>110</v>
      </c>
      <c r="F231" s="112">
        <f>'Revenue Build'!G9</f>
        <v>22100</v>
      </c>
      <c r="G231" s="112">
        <f>'Revenue Build'!H9</f>
        <v>30497.999999999996</v>
      </c>
      <c r="H231" s="112">
        <f>'Revenue Build'!I9</f>
        <v>29735.55</v>
      </c>
      <c r="I231" s="112">
        <f>'Revenue Build'!J9</f>
        <v>27877.078125</v>
      </c>
      <c r="J231" s="112">
        <f>'Revenue Build'!K9</f>
        <v>30107.244375000002</v>
      </c>
      <c r="K231" s="33"/>
      <c r="M231" s="36"/>
      <c r="N231" s="36"/>
      <c r="O231" s="36"/>
      <c r="P231" s="36"/>
      <c r="Q231" s="36"/>
    </row>
    <row r="232" spans="2:20">
      <c r="B232" s="83" t="s">
        <v>111</v>
      </c>
      <c r="E232" s="110">
        <v>0.75</v>
      </c>
      <c r="F232" s="30">
        <f>F231*$E$232</f>
        <v>16575</v>
      </c>
      <c r="G232" s="30">
        <f>G231*$E$232</f>
        <v>22873.499999999996</v>
      </c>
      <c r="H232" s="30">
        <f>H231*$E$232</f>
        <v>22301.662499999999</v>
      </c>
      <c r="I232" s="30">
        <f>I231*$E$232</f>
        <v>20907.80859375</v>
      </c>
      <c r="J232" s="30">
        <f>J231*$E$232</f>
        <v>22580.43328125</v>
      </c>
      <c r="M232" s="36"/>
      <c r="N232" s="36"/>
      <c r="O232" s="36"/>
      <c r="P232" s="36"/>
      <c r="Q232" s="36"/>
    </row>
    <row r="233" spans="2:20">
      <c r="B233" s="53" t="s">
        <v>28</v>
      </c>
      <c r="E233" s="111"/>
      <c r="F233" s="36"/>
      <c r="G233" s="36"/>
      <c r="H233" s="36"/>
      <c r="I233" s="36"/>
      <c r="J233" s="36"/>
      <c r="M233" s="36"/>
      <c r="N233" s="36"/>
      <c r="O233" s="36"/>
      <c r="P233" s="36"/>
      <c r="Q233" s="36"/>
    </row>
    <row r="234" spans="2:20">
      <c r="B234" s="83" t="s">
        <v>108</v>
      </c>
      <c r="E234" s="113">
        <v>0.05</v>
      </c>
      <c r="F234" s="34">
        <f>F235+$E$234</f>
        <v>0.8</v>
      </c>
      <c r="G234" s="34">
        <f t="shared" ref="G234:J234" si="97">G235+$E$234</f>
        <v>0.85000000000000009</v>
      </c>
      <c r="H234" s="34">
        <f t="shared" si="97"/>
        <v>0.70000000000000007</v>
      </c>
      <c r="I234" s="34">
        <f t="shared" si="97"/>
        <v>0.65</v>
      </c>
      <c r="J234" s="34">
        <f t="shared" si="97"/>
        <v>0.60000000000000009</v>
      </c>
      <c r="K234" s="33"/>
    </row>
    <row r="235" spans="2:20">
      <c r="B235" s="83" t="s">
        <v>109</v>
      </c>
      <c r="E235" s="111" t="s">
        <v>110</v>
      </c>
      <c r="F235" s="36">
        <v>0.75</v>
      </c>
      <c r="G235" s="36">
        <v>0.8</v>
      </c>
      <c r="H235" s="36">
        <v>0.65</v>
      </c>
      <c r="I235" s="36">
        <v>0.6</v>
      </c>
      <c r="J235" s="36">
        <v>0.55000000000000004</v>
      </c>
      <c r="K235" s="33"/>
    </row>
    <row r="236" spans="2:20">
      <c r="B236" s="83" t="s">
        <v>111</v>
      </c>
      <c r="E236" s="113">
        <v>-0.1</v>
      </c>
      <c r="F236" s="34">
        <f>F235+$E$236</f>
        <v>0.65</v>
      </c>
      <c r="G236" s="34">
        <f>G235+$E$236</f>
        <v>0.70000000000000007</v>
      </c>
      <c r="H236" s="34">
        <f>H235+$E$236</f>
        <v>0.55000000000000004</v>
      </c>
      <c r="I236" s="34">
        <f>I235+$E$236</f>
        <v>0.5</v>
      </c>
      <c r="J236" s="34">
        <f>J235+$E$236</f>
        <v>0.45000000000000007</v>
      </c>
    </row>
    <row r="237" spans="2:20">
      <c r="B237" s="53" t="s">
        <v>29</v>
      </c>
      <c r="E237" s="111"/>
      <c r="F237" s="114"/>
      <c r="G237" s="114"/>
      <c r="H237" s="114"/>
      <c r="I237" s="114"/>
      <c r="J237" s="114"/>
    </row>
    <row r="238" spans="2:20">
      <c r="B238" s="83" t="s">
        <v>108</v>
      </c>
      <c r="E238" s="113">
        <v>-0.01</v>
      </c>
      <c r="F238" s="34">
        <f>F239+$E$238</f>
        <v>7.8E-2</v>
      </c>
      <c r="G238" s="34">
        <f t="shared" ref="G238:J238" si="98">G239+$E$238</f>
        <v>8.2400000000000001E-2</v>
      </c>
      <c r="H238" s="34">
        <f t="shared" si="98"/>
        <v>8.2000000000000003E-2</v>
      </c>
      <c r="I238" s="34">
        <f t="shared" si="98"/>
        <v>8.2000000000000003E-2</v>
      </c>
      <c r="J238" s="34">
        <f t="shared" si="98"/>
        <v>8.2000000000000003E-2</v>
      </c>
    </row>
    <row r="239" spans="2:20">
      <c r="B239" s="83" t="s">
        <v>109</v>
      </c>
      <c r="E239" s="111" t="s">
        <v>110</v>
      </c>
      <c r="F239" s="36">
        <v>8.7999999999999995E-2</v>
      </c>
      <c r="G239" s="36">
        <v>9.2399999999999996E-2</v>
      </c>
      <c r="H239" s="36">
        <v>9.1999999999999998E-2</v>
      </c>
      <c r="I239" s="36">
        <v>9.1999999999999998E-2</v>
      </c>
      <c r="J239" s="36">
        <v>9.1999999999999998E-2</v>
      </c>
    </row>
    <row r="240" spans="2:20">
      <c r="B240" s="83" t="s">
        <v>111</v>
      </c>
      <c r="E240" s="113">
        <v>0.01</v>
      </c>
      <c r="F240" s="34">
        <f>F239+$E$240</f>
        <v>9.799999999999999E-2</v>
      </c>
      <c r="G240" s="34">
        <f>G239+$E$240</f>
        <v>0.10239999999999999</v>
      </c>
      <c r="H240" s="34">
        <f>H239+$E$240</f>
        <v>0.10199999999999999</v>
      </c>
      <c r="I240" s="34">
        <f>I239+$E$240</f>
        <v>0.10199999999999999</v>
      </c>
      <c r="J240" s="34">
        <f>J239+$E$240</f>
        <v>0.10199999999999999</v>
      </c>
    </row>
    <row r="241" spans="2:10">
      <c r="B241" s="53" t="s">
        <v>30</v>
      </c>
      <c r="E241" s="111"/>
      <c r="F241" s="114"/>
      <c r="G241" s="114"/>
      <c r="H241" s="114"/>
      <c r="I241" s="114"/>
      <c r="J241" s="114"/>
    </row>
    <row r="242" spans="2:10">
      <c r="B242" s="83" t="s">
        <v>108</v>
      </c>
      <c r="E242" s="113">
        <v>-0.01</v>
      </c>
      <c r="F242" s="34">
        <f>F243+$E$242</f>
        <v>1.5000000000000001E-2</v>
      </c>
      <c r="G242" s="34">
        <f t="shared" ref="G242:J242" si="99">G243+$E$242</f>
        <v>1.5000000000000001E-2</v>
      </c>
      <c r="H242" s="34">
        <f t="shared" si="99"/>
        <v>1.5000000000000001E-2</v>
      </c>
      <c r="I242" s="34">
        <f t="shared" si="99"/>
        <v>1.5000000000000001E-2</v>
      </c>
      <c r="J242" s="34">
        <f t="shared" si="99"/>
        <v>1.5000000000000001E-2</v>
      </c>
    </row>
    <row r="243" spans="2:10">
      <c r="B243" s="83" t="s">
        <v>109</v>
      </c>
      <c r="E243" s="111" t="s">
        <v>110</v>
      </c>
      <c r="F243" s="36">
        <v>2.5000000000000001E-2</v>
      </c>
      <c r="G243" s="36">
        <v>2.5000000000000001E-2</v>
      </c>
      <c r="H243" s="36">
        <v>2.5000000000000001E-2</v>
      </c>
      <c r="I243" s="36">
        <v>2.5000000000000001E-2</v>
      </c>
      <c r="J243" s="36">
        <v>2.5000000000000001E-2</v>
      </c>
    </row>
    <row r="244" spans="2:10" ht="15" thickBot="1">
      <c r="B244" s="83" t="s">
        <v>111</v>
      </c>
      <c r="E244" s="115">
        <v>0.01</v>
      </c>
      <c r="F244" s="34">
        <f>F243+$E$244</f>
        <v>3.5000000000000003E-2</v>
      </c>
      <c r="G244" s="34">
        <f t="shared" ref="G244:J244" si="100">G243+$E$244</f>
        <v>3.5000000000000003E-2</v>
      </c>
      <c r="H244" s="34">
        <f t="shared" si="100"/>
        <v>3.5000000000000003E-2</v>
      </c>
      <c r="I244" s="34">
        <f t="shared" si="100"/>
        <v>3.5000000000000003E-2</v>
      </c>
      <c r="J244" s="34">
        <f t="shared" si="100"/>
        <v>3.5000000000000003E-2</v>
      </c>
    </row>
  </sheetData>
  <dataValidations count="2">
    <dataValidation type="list" allowBlank="1" showInputMessage="1" showErrorMessage="1" sqref="C7" xr:uid="{DA10AA96-0764-4B96-B84E-F91DDDD405F6}">
      <formula1>"0,1"</formula1>
    </dataValidation>
    <dataValidation type="list" allowBlank="1" showInputMessage="1" showErrorMessage="1" sqref="C12" xr:uid="{E1B8A2EE-719A-48CC-A314-4DB885182149}">
      <formula1>"Weak Case,Base Case,Best Case"</formula1>
    </dataValidation>
  </dataValidations>
  <printOptions horizontalCentered="1"/>
  <pageMargins left="0.5" right="0.5" top="0.75" bottom="0.75" header="0.25" footer="0.25"/>
  <pageSetup scale="85" fitToHeight="0" orientation="landscape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7E9DE-CBEB-4FB6-AA4B-8DA1C64516A8}">
  <sheetPr>
    <pageSetUpPr fitToPage="1"/>
  </sheetPr>
  <dimension ref="C2:P25"/>
  <sheetViews>
    <sheetView workbookViewId="0">
      <selection activeCell="F4" sqref="F4"/>
    </sheetView>
  </sheetViews>
  <sheetFormatPr defaultColWidth="9.109375" defaultRowHeight="14.4"/>
  <cols>
    <col min="1" max="2" width="1.6640625" style="1" customWidth="1"/>
    <col min="3" max="3" width="27.5546875" style="1" bestFit="1" customWidth="1"/>
    <col min="4" max="16384" width="9.109375" style="1"/>
  </cols>
  <sheetData>
    <row r="2" spans="3:16">
      <c r="C2" s="14" t="s">
        <v>119</v>
      </c>
      <c r="D2" s="122"/>
      <c r="E2" s="15"/>
      <c r="F2" s="15"/>
      <c r="G2" s="15"/>
      <c r="H2" s="15"/>
      <c r="I2" s="15"/>
      <c r="J2" s="15"/>
      <c r="K2" s="15"/>
    </row>
    <row r="3" spans="3:16">
      <c r="C3" s="1" t="s">
        <v>8</v>
      </c>
      <c r="D3" s="41"/>
      <c r="E3" s="41">
        <v>2024</v>
      </c>
      <c r="F3" s="41">
        <v>2025</v>
      </c>
      <c r="G3" s="123">
        <v>2026</v>
      </c>
      <c r="H3" s="123">
        <f>G3+1</f>
        <v>2027</v>
      </c>
      <c r="I3" s="123">
        <f t="shared" ref="I3:K3" si="0">H3+1</f>
        <v>2028</v>
      </c>
      <c r="J3" s="123">
        <f t="shared" si="0"/>
        <v>2029</v>
      </c>
      <c r="K3" s="123">
        <f t="shared" si="0"/>
        <v>2030</v>
      </c>
    </row>
    <row r="4" spans="3:16">
      <c r="C4" s="20" t="s">
        <v>9</v>
      </c>
      <c r="D4" s="124"/>
      <c r="E4" s="124">
        <f>DATE(2025,8,28)-364</f>
        <v>45533</v>
      </c>
      <c r="F4" s="272">
        <f>'FSM Forecast'!C10</f>
        <v>45897</v>
      </c>
      <c r="G4" s="124">
        <f>DATE(2025,8,28)+364</f>
        <v>46261</v>
      </c>
      <c r="H4" s="124">
        <f>DATE(2026,8,27)+364</f>
        <v>46625</v>
      </c>
      <c r="I4" s="124">
        <f>DATE(2027,8,26)+371</f>
        <v>46996</v>
      </c>
      <c r="J4" s="124">
        <f>DATE(2028,8,31)+364</f>
        <v>47360</v>
      </c>
      <c r="K4" s="124">
        <f>DATE(2029,8,30)+364</f>
        <v>47724</v>
      </c>
    </row>
    <row r="5" spans="3:16">
      <c r="C5" s="125" t="s">
        <v>120</v>
      </c>
      <c r="D5" s="126"/>
      <c r="E5" s="126"/>
      <c r="F5" s="126"/>
      <c r="G5" s="126"/>
      <c r="H5" s="126"/>
      <c r="I5" s="126"/>
      <c r="J5" s="126"/>
      <c r="K5" s="126"/>
    </row>
    <row r="6" spans="3:16">
      <c r="C6" s="127" t="s">
        <v>121</v>
      </c>
      <c r="D6" s="6"/>
      <c r="E6" s="41"/>
      <c r="F6" s="128"/>
      <c r="G6" s="123"/>
      <c r="H6" s="41"/>
      <c r="I6" s="41"/>
      <c r="J6" s="41"/>
      <c r="K6" s="128"/>
    </row>
    <row r="7" spans="3:16">
      <c r="C7" s="29"/>
      <c r="D7" s="25"/>
      <c r="E7" s="124"/>
      <c r="F7" s="124"/>
      <c r="G7" s="129"/>
      <c r="H7" s="26"/>
      <c r="I7" s="26"/>
      <c r="J7" s="26"/>
      <c r="K7" s="130"/>
      <c r="O7" s="131"/>
      <c r="P7" s="131"/>
    </row>
    <row r="8" spans="3:16">
      <c r="C8" s="29" t="s">
        <v>148</v>
      </c>
      <c r="D8" s="25"/>
      <c r="E8" s="25">
        <v>17600</v>
      </c>
      <c r="F8" s="132">
        <v>28580</v>
      </c>
      <c r="G8" s="129">
        <f>F8*(1+G22)</f>
        <v>88269.329999999987</v>
      </c>
      <c r="H8" s="26">
        <f t="shared" ref="H8:K8" si="1">G8*(1+H22)</f>
        <v>127107.83519999997</v>
      </c>
      <c r="I8" s="26">
        <f t="shared" si="1"/>
        <v>128887.34489279997</v>
      </c>
      <c r="J8" s="26">
        <f t="shared" si="1"/>
        <v>120831.88583699998</v>
      </c>
      <c r="K8" s="130">
        <f t="shared" si="1"/>
        <v>130498.43670395999</v>
      </c>
      <c r="O8" s="47"/>
      <c r="P8" s="47"/>
    </row>
    <row r="9" spans="3:16">
      <c r="C9" s="29" t="s">
        <v>149</v>
      </c>
      <c r="D9" s="25"/>
      <c r="E9" s="25">
        <v>7230</v>
      </c>
      <c r="F9" s="25">
        <v>8500</v>
      </c>
      <c r="G9" s="129">
        <f>F9*(1+G23)</f>
        <v>22100</v>
      </c>
      <c r="H9" s="26">
        <f t="shared" ref="H9:K9" si="2">G9*(1+H23)</f>
        <v>30497.999999999996</v>
      </c>
      <c r="I9" s="26">
        <f t="shared" si="2"/>
        <v>29735.55</v>
      </c>
      <c r="J9" s="26">
        <f t="shared" si="2"/>
        <v>27877.078125</v>
      </c>
      <c r="K9" s="130">
        <f t="shared" si="2"/>
        <v>30107.244375000002</v>
      </c>
      <c r="O9" s="47"/>
      <c r="P9" s="47"/>
    </row>
    <row r="10" spans="3:16">
      <c r="C10" s="29" t="s">
        <v>151</v>
      </c>
      <c r="D10" s="25"/>
      <c r="E10" s="26">
        <f>SUM(E8:E9)</f>
        <v>24830</v>
      </c>
      <c r="F10" s="130">
        <f t="shared" ref="F10:K10" si="3">SUM(F8:F9)</f>
        <v>37080</v>
      </c>
      <c r="G10" s="26">
        <f t="shared" si="3"/>
        <v>110369.32999999999</v>
      </c>
      <c r="H10" s="26">
        <f t="shared" si="3"/>
        <v>157605.83519999997</v>
      </c>
      <c r="I10" s="26">
        <f t="shared" si="3"/>
        <v>158622.89489279996</v>
      </c>
      <c r="J10" s="26">
        <f t="shared" si="3"/>
        <v>148708.96396199998</v>
      </c>
      <c r="K10" s="130">
        <f t="shared" si="3"/>
        <v>160605.68107895998</v>
      </c>
      <c r="O10" s="47"/>
      <c r="P10" s="47"/>
    </row>
    <row r="11" spans="3:16">
      <c r="C11" s="29" t="s">
        <v>122</v>
      </c>
      <c r="E11" s="54"/>
      <c r="F11" s="133">
        <f>F10/E10-1</f>
        <v>0.49335481272654058</v>
      </c>
      <c r="G11" s="54">
        <f>G10/F10-1</f>
        <v>1.9765191477885651</v>
      </c>
      <c r="H11" s="54">
        <f t="shared" ref="H11:K11" si="4">H10/G10-1</f>
        <v>0.42798579279225479</v>
      </c>
      <c r="I11" s="54">
        <f t="shared" si="4"/>
        <v>6.4531855150500306E-3</v>
      </c>
      <c r="J11" s="54">
        <f t="shared" si="4"/>
        <v>-6.2499999999999889E-2</v>
      </c>
      <c r="K11" s="133">
        <f t="shared" si="4"/>
        <v>8.0000000000000071E-2</v>
      </c>
    </row>
    <row r="12" spans="3:16">
      <c r="C12" s="83"/>
      <c r="E12" s="54"/>
      <c r="F12" s="133"/>
      <c r="G12" s="54"/>
      <c r="H12" s="54"/>
      <c r="I12" s="54"/>
      <c r="J12" s="54"/>
      <c r="K12" s="133"/>
    </row>
    <row r="13" spans="3:16">
      <c r="C13" s="134" t="s">
        <v>154</v>
      </c>
      <c r="D13" s="65"/>
      <c r="E13" s="65"/>
      <c r="F13" s="135"/>
      <c r="G13" s="65"/>
      <c r="H13" s="65"/>
      <c r="I13" s="65"/>
      <c r="J13" s="65"/>
      <c r="K13" s="136"/>
    </row>
    <row r="14" spans="3:16">
      <c r="C14" s="29" t="s">
        <v>148</v>
      </c>
      <c r="D14" s="25"/>
      <c r="E14" s="25"/>
      <c r="F14" s="132"/>
      <c r="G14" s="137">
        <v>0.45</v>
      </c>
      <c r="H14" s="137">
        <v>0.2</v>
      </c>
      <c r="I14" s="137">
        <v>0.3</v>
      </c>
      <c r="J14" s="137">
        <v>0.25</v>
      </c>
      <c r="K14" s="138">
        <v>0.2</v>
      </c>
    </row>
    <row r="15" spans="3:16">
      <c r="C15" s="29" t="s">
        <v>149</v>
      </c>
      <c r="D15" s="25"/>
      <c r="E15" s="25"/>
      <c r="F15" s="132"/>
      <c r="G15" s="137">
        <v>0.3</v>
      </c>
      <c r="H15" s="137">
        <v>0.2</v>
      </c>
      <c r="I15" s="137">
        <v>0.3</v>
      </c>
      <c r="J15" s="137">
        <v>0.25</v>
      </c>
      <c r="K15" s="139">
        <v>0.2</v>
      </c>
    </row>
    <row r="16" spans="3:16">
      <c r="F16" s="136"/>
      <c r="K16" s="136"/>
    </row>
    <row r="17" spans="3:16">
      <c r="C17" s="134" t="s">
        <v>150</v>
      </c>
      <c r="D17" s="65"/>
      <c r="E17" s="65"/>
      <c r="F17" s="135"/>
      <c r="H17" s="65"/>
      <c r="I17" s="65"/>
      <c r="J17" s="65"/>
      <c r="K17" s="136"/>
      <c r="P17" s="47"/>
    </row>
    <row r="18" spans="3:16">
      <c r="C18" s="29" t="s">
        <v>148</v>
      </c>
      <c r="D18" s="140"/>
      <c r="E18" s="140"/>
      <c r="F18" s="141"/>
      <c r="G18" s="142">
        <v>1.1299999999999999</v>
      </c>
      <c r="H18" s="137">
        <v>0.2</v>
      </c>
      <c r="I18" s="137">
        <v>-0.22</v>
      </c>
      <c r="J18" s="137">
        <v>-0.25</v>
      </c>
      <c r="K18" s="138">
        <v>-0.1</v>
      </c>
      <c r="P18" s="47"/>
    </row>
    <row r="19" spans="3:16">
      <c r="C19" s="29" t="s">
        <v>149</v>
      </c>
      <c r="D19" s="140"/>
      <c r="E19" s="140"/>
      <c r="F19" s="140"/>
      <c r="G19" s="143">
        <v>1</v>
      </c>
      <c r="H19" s="137">
        <v>0.15</v>
      </c>
      <c r="I19" s="137">
        <v>-0.25</v>
      </c>
      <c r="J19" s="137">
        <v>-0.25</v>
      </c>
      <c r="K19" s="139">
        <v>-0.1</v>
      </c>
    </row>
    <row r="20" spans="3:16">
      <c r="C20" s="29"/>
      <c r="D20" s="140"/>
      <c r="E20" s="140"/>
      <c r="F20" s="140"/>
      <c r="G20" s="144"/>
      <c r="H20" s="145"/>
      <c r="I20" s="145"/>
      <c r="J20" s="145"/>
      <c r="K20" s="146"/>
    </row>
    <row r="21" spans="3:16">
      <c r="C21" s="134" t="s">
        <v>152</v>
      </c>
      <c r="D21" s="65"/>
      <c r="E21" s="65"/>
      <c r="F21" s="65"/>
      <c r="G21" s="147"/>
      <c r="H21" s="65"/>
      <c r="I21" s="65"/>
      <c r="J21" s="65"/>
      <c r="K21" s="135"/>
      <c r="P21" s="47"/>
    </row>
    <row r="22" spans="3:16">
      <c r="C22" s="29" t="s">
        <v>148</v>
      </c>
      <c r="D22" s="148"/>
      <c r="E22" s="34"/>
      <c r="F22" s="34"/>
      <c r="G22" s="149">
        <f>(1+G14)*(1+G18)-1</f>
        <v>2.0884999999999998</v>
      </c>
      <c r="H22" s="150">
        <f t="shared" ref="H22:K22" si="5">(1+H14)*(1+H18)-1</f>
        <v>0.43999999999999995</v>
      </c>
      <c r="I22" s="150">
        <f t="shared" si="5"/>
        <v>1.4000000000000012E-2</v>
      </c>
      <c r="J22" s="150">
        <f>(1+J14)*(1+J18)-1</f>
        <v>-6.25E-2</v>
      </c>
      <c r="K22" s="151">
        <f t="shared" si="5"/>
        <v>8.0000000000000071E-2</v>
      </c>
    </row>
    <row r="23" spans="3:16">
      <c r="C23" s="29" t="s">
        <v>149</v>
      </c>
      <c r="E23" s="34"/>
      <c r="F23" s="34"/>
      <c r="G23" s="149">
        <f>(1+G15)*(1+G19)-1</f>
        <v>1.6</v>
      </c>
      <c r="H23" s="150">
        <f t="shared" ref="H23:K23" si="6">(1+H15)*(1+H19)-1</f>
        <v>0.37999999999999989</v>
      </c>
      <c r="I23" s="150">
        <f t="shared" si="6"/>
        <v>-2.4999999999999911E-2</v>
      </c>
      <c r="J23" s="150">
        <f t="shared" si="6"/>
        <v>-6.25E-2</v>
      </c>
      <c r="K23" s="151">
        <f t="shared" si="6"/>
        <v>8.0000000000000071E-2</v>
      </c>
    </row>
    <row r="24" spans="3:16">
      <c r="C24" s="29"/>
      <c r="D24" s="148"/>
      <c r="E24" s="34"/>
      <c r="F24" s="34"/>
      <c r="G24" s="152"/>
      <c r="H24" s="34"/>
      <c r="I24" s="34"/>
      <c r="J24" s="34"/>
      <c r="K24" s="153"/>
    </row>
    <row r="25" spans="3:16">
      <c r="C25" s="83"/>
      <c r="G25" s="147"/>
      <c r="H25" s="65"/>
      <c r="I25" s="65"/>
      <c r="J25" s="65"/>
      <c r="K25" s="135"/>
      <c r="P25" s="47"/>
    </row>
  </sheetData>
  <printOptions horizontalCentered="1"/>
  <pageMargins left="0.5" right="0.5" top="0.75" bottom="0.75" header="0.25" footer="0.25"/>
  <pageSetup fitToHeight="0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708C4-CB1B-405D-8F0C-64FB8D1DC0BF}">
  <sheetPr>
    <pageSetUpPr fitToPage="1"/>
  </sheetPr>
  <dimension ref="B1:R155"/>
  <sheetViews>
    <sheetView topLeftCell="A128" zoomScale="85" zoomScaleNormal="85" workbookViewId="0">
      <selection activeCell="L11" sqref="L11"/>
    </sheetView>
  </sheetViews>
  <sheetFormatPr defaultColWidth="9.109375" defaultRowHeight="14.4"/>
  <cols>
    <col min="1" max="1" width="1.5546875" style="1" customWidth="1"/>
    <col min="2" max="2" width="1.6640625" style="1" customWidth="1"/>
    <col min="3" max="3" width="44.44140625" style="1" customWidth="1"/>
    <col min="4" max="10" width="12.109375" style="1" customWidth="1"/>
    <col min="11" max="16384" width="9.109375" style="1"/>
  </cols>
  <sheetData>
    <row r="1" spans="2:11" ht="15" thickBot="1"/>
    <row r="2" spans="2:11" ht="18" thickBot="1">
      <c r="C2" s="190" t="s">
        <v>161</v>
      </c>
      <c r="D2" s="183"/>
      <c r="E2" s="183"/>
      <c r="F2" s="183"/>
      <c r="G2" s="183"/>
      <c r="H2" s="183"/>
      <c r="I2" s="183"/>
      <c r="J2" s="183"/>
    </row>
    <row r="3" spans="2:11">
      <c r="C3" s="4" t="s">
        <v>155</v>
      </c>
    </row>
    <row r="4" spans="2:11">
      <c r="C4" s="1" t="s">
        <v>162</v>
      </c>
      <c r="D4" s="257">
        <v>45897</v>
      </c>
      <c r="E4" s="154"/>
      <c r="G4" s="31" t="s">
        <v>163</v>
      </c>
      <c r="I4" s="54">
        <f ca="1">F51</f>
        <v>0.10674993460750713</v>
      </c>
    </row>
    <row r="5" spans="2:11">
      <c r="C5" s="1" t="s">
        <v>164</v>
      </c>
      <c r="D5" s="154">
        <v>46261</v>
      </c>
      <c r="G5" s="31" t="s">
        <v>248</v>
      </c>
      <c r="I5" s="209">
        <f>'FSM Forecast'!C9</f>
        <v>895.88</v>
      </c>
    </row>
    <row r="6" spans="2:11">
      <c r="C6" s="1" t="s">
        <v>165</v>
      </c>
      <c r="D6" s="154"/>
      <c r="G6" s="31" t="s">
        <v>166</v>
      </c>
      <c r="I6" s="210">
        <f>'FSM Forecast'!C8</f>
        <v>46168</v>
      </c>
    </row>
    <row r="7" spans="2:11">
      <c r="C7" s="1" t="s">
        <v>167</v>
      </c>
      <c r="D7" s="154">
        <v>46168</v>
      </c>
      <c r="G7" s="31" t="s">
        <v>168</v>
      </c>
      <c r="I7" s="265">
        <v>0</v>
      </c>
      <c r="J7" s="189"/>
    </row>
    <row r="8" spans="2:11">
      <c r="C8" s="1" t="s">
        <v>169</v>
      </c>
      <c r="D8" s="156">
        <f>1-YEARFRAC(D7,D5)</f>
        <v>0.74722222222222223</v>
      </c>
      <c r="G8" s="31"/>
    </row>
    <row r="9" spans="2:11">
      <c r="E9" s="157"/>
      <c r="G9" s="31" t="s">
        <v>170</v>
      </c>
      <c r="H9" s="270" t="str">
        <f>'FSM Forecast'!C12</f>
        <v>Base Case</v>
      </c>
      <c r="I9" s="157"/>
    </row>
    <row r="10" spans="2:11">
      <c r="B10" s="1" t="s">
        <v>125</v>
      </c>
      <c r="C10" s="134" t="s">
        <v>171</v>
      </c>
      <c r="D10" s="65"/>
      <c r="E10" s="158"/>
      <c r="F10" s="118"/>
      <c r="G10" s="65"/>
      <c r="H10" s="65"/>
      <c r="I10" s="65"/>
      <c r="J10" s="65"/>
    </row>
    <row r="11" spans="2:11">
      <c r="C11" s="1" t="s">
        <v>8</v>
      </c>
      <c r="E11" s="16">
        <v>2025</v>
      </c>
      <c r="F11" s="17">
        <v>2026</v>
      </c>
      <c r="G11" s="17">
        <f>F11+1</f>
        <v>2027</v>
      </c>
      <c r="H11" s="17">
        <f>G11+1</f>
        <v>2028</v>
      </c>
      <c r="I11" s="17">
        <f>H11+1</f>
        <v>2029</v>
      </c>
      <c r="J11" s="17">
        <f>I11+1</f>
        <v>2030</v>
      </c>
    </row>
    <row r="12" spans="2:11">
      <c r="C12" s="18" t="s">
        <v>9</v>
      </c>
      <c r="D12" s="191"/>
      <c r="E12" s="19">
        <f>D5</f>
        <v>46261</v>
      </c>
      <c r="F12" s="19">
        <f>DATE(2025,8,28)+364</f>
        <v>46261</v>
      </c>
      <c r="G12" s="19">
        <f>DATE(2026,8,27)+364</f>
        <v>46625</v>
      </c>
      <c r="H12" s="19">
        <f>DATE(2027,8,26)+371</f>
        <v>46996</v>
      </c>
      <c r="I12" s="19">
        <f>DATE(2028,8,31)+364</f>
        <v>47360</v>
      </c>
      <c r="J12" s="19">
        <f>DATE(2029,8,30)+364</f>
        <v>47724</v>
      </c>
    </row>
    <row r="13" spans="2:11">
      <c r="C13" s="20"/>
      <c r="D13" s="20"/>
      <c r="E13" s="185"/>
      <c r="F13" s="192"/>
      <c r="G13" s="186"/>
      <c r="H13" s="186"/>
      <c r="I13" s="186"/>
      <c r="J13" s="186"/>
      <c r="K13" s="186"/>
    </row>
    <row r="14" spans="2:11">
      <c r="C14" s="1" t="s">
        <v>10</v>
      </c>
      <c r="E14" s="112">
        <f>'FSM Forecast'!E18</f>
        <v>37378</v>
      </c>
      <c r="F14" s="112">
        <f ca="1">'FSM Forecast'!F18</f>
        <v>111252.28463999998</v>
      </c>
      <c r="G14" s="112">
        <f ca="1">'FSM Forecast'!G18</f>
        <v>157605.83519999997</v>
      </c>
      <c r="H14" s="112">
        <f ca="1">'FSM Forecast'!H18</f>
        <v>158622.89489279999</v>
      </c>
      <c r="I14" s="112">
        <f ca="1">'FSM Forecast'!I18</f>
        <v>148708.96396200001</v>
      </c>
      <c r="J14" s="112">
        <f ca="1">'FSM Forecast'!J18</f>
        <v>160605.68107896001</v>
      </c>
    </row>
    <row r="15" spans="2:11">
      <c r="C15" s="29" t="s">
        <v>122</v>
      </c>
      <c r="D15" s="29"/>
      <c r="F15" s="156">
        <f ca="1">F14/E14-1</f>
        <v>1.9764108470223123</v>
      </c>
      <c r="G15" s="156">
        <f ca="1">G14/F14-1</f>
        <v>0.41665257221453844</v>
      </c>
      <c r="H15" s="156">
        <f ca="1">H14/G14-1</f>
        <v>6.4531855150500306E-3</v>
      </c>
      <c r="I15" s="156">
        <f ca="1">I14/H14-1</f>
        <v>-6.2499999999999889E-2</v>
      </c>
      <c r="J15" s="156">
        <f ca="1">J14/I14-1</f>
        <v>8.0000000000000071E-2</v>
      </c>
    </row>
    <row r="16" spans="2:11">
      <c r="C16" s="1" t="s">
        <v>23</v>
      </c>
      <c r="E16" s="160">
        <f>E18+E25</f>
        <v>9770</v>
      </c>
      <c r="F16" s="160">
        <f t="shared" ref="F16:J16" ca="1" si="0">F18+F25</f>
        <v>87078.354234443279</v>
      </c>
      <c r="G16" s="160">
        <f t="shared" ca="1" si="0"/>
        <v>133432.90258110914</v>
      </c>
      <c r="H16" s="160">
        <f t="shared" ca="1" si="0"/>
        <v>117027.00543002191</v>
      </c>
      <c r="I16" s="160">
        <f t="shared" ca="1" si="0"/>
        <v>108076.45101164674</v>
      </c>
      <c r="J16" s="160">
        <f t="shared" ca="1" si="0"/>
        <v>109585.58942181215</v>
      </c>
    </row>
    <row r="17" spans="3:10">
      <c r="C17" s="29" t="s">
        <v>172</v>
      </c>
      <c r="D17" s="29"/>
      <c r="E17" s="156">
        <f t="shared" ref="E17:J17" si="1">E16/E14</f>
        <v>0.26138370164267749</v>
      </c>
      <c r="F17" s="156">
        <f t="shared" ca="1" si="1"/>
        <v>0.78271070581803459</v>
      </c>
      <c r="G17" s="156">
        <f t="shared" ca="1" si="1"/>
        <v>0.84662412664978004</v>
      </c>
      <c r="H17" s="156">
        <f t="shared" ca="1" si="1"/>
        <v>0.73776869038426462</v>
      </c>
      <c r="I17" s="156">
        <f t="shared" ca="1" si="1"/>
        <v>0.72676487100847398</v>
      </c>
      <c r="J17" s="156">
        <f t="shared" ca="1" si="1"/>
        <v>0.68232698050036977</v>
      </c>
    </row>
    <row r="18" spans="3:10">
      <c r="C18" s="1" t="s">
        <v>173</v>
      </c>
      <c r="E18" s="112">
        <f>'FSM Forecast'!E25</f>
        <v>9770</v>
      </c>
      <c r="F18" s="112">
        <f ca="1">'FSM Forecast'!F25</f>
        <v>70867.705315679996</v>
      </c>
      <c r="G18" s="112">
        <f ca="1">'FSM Forecast'!G25</f>
        <v>107581.74310751999</v>
      </c>
      <c r="H18" s="112">
        <f ca="1">'FSM Forecast'!H25</f>
        <v>84546.002977862401</v>
      </c>
      <c r="I18" s="112">
        <f ca="1">'FSM Forecast'!I25</f>
        <v>71826.429593645997</v>
      </c>
      <c r="J18" s="112">
        <f ca="1">'FSM Forecast'!J25</f>
        <v>69542.259907189698</v>
      </c>
    </row>
    <row r="19" spans="3:10">
      <c r="C19" s="29" t="s">
        <v>172</v>
      </c>
      <c r="D19" s="29"/>
      <c r="E19" s="156">
        <f>E18/E14</f>
        <v>0.26138370164267749</v>
      </c>
      <c r="F19" s="156">
        <f t="shared" ref="F19:J19" ca="1" si="2">F18/F14</f>
        <v>0.63700000000000001</v>
      </c>
      <c r="G19" s="156">
        <f t="shared" ca="1" si="2"/>
        <v>0.68259999999999998</v>
      </c>
      <c r="H19" s="156">
        <f t="shared" ca="1" si="2"/>
        <v>0.53300000000000003</v>
      </c>
      <c r="I19" s="156">
        <f t="shared" ca="1" si="2"/>
        <v>0.48299999999999993</v>
      </c>
      <c r="J19" s="156">
        <f t="shared" ca="1" si="2"/>
        <v>0.43300000000000011</v>
      </c>
    </row>
    <row r="20" spans="3:10">
      <c r="C20" s="29"/>
      <c r="D20" s="29"/>
      <c r="E20" s="112"/>
      <c r="F20" s="112"/>
      <c r="G20" s="112"/>
      <c r="H20" s="112"/>
      <c r="I20" s="112"/>
      <c r="J20" s="112"/>
    </row>
    <row r="21" spans="3:10">
      <c r="C21" s="1" t="s">
        <v>174</v>
      </c>
      <c r="E21" s="160">
        <f>E22*E18</f>
        <v>1137.5056971203646</v>
      </c>
      <c r="F21" s="160">
        <f t="shared" ref="F21:J21" ca="1" si="3">F22*F18</f>
        <v>11693.171377087199</v>
      </c>
      <c r="G21" s="160">
        <f t="shared" ca="1" si="3"/>
        <v>17750.987612740799</v>
      </c>
      <c r="H21" s="160">
        <f t="shared" ca="1" si="3"/>
        <v>13950.090491347297</v>
      </c>
      <c r="I21" s="160">
        <f t="shared" ca="1" si="3"/>
        <v>11851.360882951591</v>
      </c>
      <c r="J21" s="160">
        <f t="shared" ca="1" si="3"/>
        <v>11474.4728846863</v>
      </c>
    </row>
    <row r="22" spans="3:10">
      <c r="C22" s="29" t="s">
        <v>31</v>
      </c>
      <c r="D22" s="29"/>
      <c r="E22" s="193">
        <f>'FSM Forecast'!E44</f>
        <v>0.1164284234514191</v>
      </c>
      <c r="F22" s="193">
        <f>'FSM Forecast'!F44</f>
        <v>0.16500000000000001</v>
      </c>
      <c r="G22" s="193">
        <f>'FSM Forecast'!G44</f>
        <v>0.16500000000000001</v>
      </c>
      <c r="H22" s="193">
        <f>'FSM Forecast'!H44</f>
        <v>0.16500000000000001</v>
      </c>
      <c r="I22" s="193">
        <f>'FSM Forecast'!I44</f>
        <v>0.16500000000000001</v>
      </c>
      <c r="J22" s="193">
        <f>'FSM Forecast'!J44</f>
        <v>0.16500000000000001</v>
      </c>
    </row>
    <row r="23" spans="3:10">
      <c r="C23" s="27" t="s">
        <v>175</v>
      </c>
      <c r="D23" s="27"/>
      <c r="E23" s="161">
        <f t="shared" ref="E23:J23" si="4">E18*(1-E22)</f>
        <v>8632.4943028796351</v>
      </c>
      <c r="F23" s="161">
        <f t="shared" ca="1" si="4"/>
        <v>59174.533938592795</v>
      </c>
      <c r="G23" s="161">
        <f t="shared" ca="1" si="4"/>
        <v>89830.75549477918</v>
      </c>
      <c r="H23" s="161">
        <f t="shared" ca="1" si="4"/>
        <v>70595.912486515095</v>
      </c>
      <c r="I23" s="161">
        <f t="shared" ca="1" si="4"/>
        <v>59975.068710694402</v>
      </c>
      <c r="J23" s="161">
        <f t="shared" ca="1" si="4"/>
        <v>58067.787022503398</v>
      </c>
    </row>
    <row r="24" spans="3:10">
      <c r="E24" s="160"/>
      <c r="F24" s="160"/>
      <c r="G24" s="160"/>
      <c r="H24" s="160"/>
      <c r="I24" s="160"/>
      <c r="J24" s="160"/>
    </row>
    <row r="25" spans="3:10">
      <c r="C25" s="1" t="s">
        <v>22</v>
      </c>
      <c r="E25" s="112"/>
      <c r="F25" s="112">
        <f ca="1">'FSM Forecast'!F33</f>
        <v>16210.648918763278</v>
      </c>
      <c r="G25" s="112">
        <f ca="1">'FSM Forecast'!G33</f>
        <v>25851.159473589149</v>
      </c>
      <c r="H25" s="112">
        <f ca="1">'FSM Forecast'!H33</f>
        <v>32481.002452159501</v>
      </c>
      <c r="I25" s="112">
        <f ca="1">'FSM Forecast'!I33</f>
        <v>36250.021418000753</v>
      </c>
      <c r="J25" s="112">
        <f ca="1">'FSM Forecast'!J33</f>
        <v>40043.329514622455</v>
      </c>
    </row>
    <row r="26" spans="3:10">
      <c r="C26" s="1" t="s">
        <v>176</v>
      </c>
      <c r="E26" s="160"/>
      <c r="F26" s="160">
        <f ca="1">F32</f>
        <v>-17352.049260417087</v>
      </c>
      <c r="G26" s="160">
        <f t="shared" ref="G26:J26" ca="1" si="5">G32</f>
        <v>-10866.105254563619</v>
      </c>
      <c r="H26" s="160">
        <f t="shared" ca="1" si="5"/>
        <v>1136.6834982246037</v>
      </c>
      <c r="I26" s="160">
        <f t="shared" ca="1" si="5"/>
        <v>2597.6178202775955</v>
      </c>
      <c r="J26" s="160">
        <f t="shared" ca="1" si="5"/>
        <v>-2108.1803034495169</v>
      </c>
    </row>
    <row r="27" spans="3:10">
      <c r="C27" s="1" t="s">
        <v>56</v>
      </c>
      <c r="E27" s="112"/>
      <c r="F27" s="112">
        <f>'FSM Forecast'!F108</f>
        <v>26000</v>
      </c>
      <c r="G27" s="112">
        <f>'FSM Forecast'!G108</f>
        <v>36000</v>
      </c>
      <c r="H27" s="112">
        <f>'FSM Forecast'!H108</f>
        <v>40000</v>
      </c>
      <c r="I27" s="112">
        <f>'FSM Forecast'!I108</f>
        <v>40000</v>
      </c>
      <c r="J27" s="112">
        <f>'FSM Forecast'!J108</f>
        <v>40000</v>
      </c>
    </row>
    <row r="28" spans="3:10">
      <c r="C28" s="29" t="s">
        <v>73</v>
      </c>
      <c r="D28" s="29"/>
      <c r="E28" s="112"/>
      <c r="F28" s="156">
        <f ca="1">F27/F14</f>
        <v>0.23370306582137262</v>
      </c>
      <c r="G28" s="156">
        <f ca="1">G27/G14</f>
        <v>0.22841793867794563</v>
      </c>
      <c r="H28" s="156">
        <f ca="1">H27/H14</f>
        <v>0.25217040722294642</v>
      </c>
      <c r="I28" s="156">
        <f ca="1">I27/I14</f>
        <v>0.26898176770447613</v>
      </c>
      <c r="J28" s="156">
        <f ca="1">J27/J14</f>
        <v>0.24905719231895937</v>
      </c>
    </row>
    <row r="29" spans="3:10">
      <c r="E29" s="112"/>
      <c r="F29" s="112"/>
      <c r="G29" s="112"/>
      <c r="H29" s="112"/>
      <c r="I29" s="112"/>
      <c r="J29" s="112"/>
    </row>
    <row r="30" spans="3:10">
      <c r="C30" s="27" t="s">
        <v>177</v>
      </c>
      <c r="D30" s="27"/>
      <c r="E30" s="161"/>
      <c r="F30" s="161">
        <f ca="1">F23+F25+F26-F27</f>
        <v>32033.133596938991</v>
      </c>
      <c r="G30" s="161">
        <f t="shared" ref="G30:J30" ca="1" si="6">G23+G25+G26-G27</f>
        <v>68815.809713804716</v>
      </c>
      <c r="H30" s="161">
        <f t="shared" ca="1" si="6"/>
        <v>64213.598436899207</v>
      </c>
      <c r="I30" s="161">
        <f t="shared" ca="1" si="6"/>
        <v>58822.707948972748</v>
      </c>
      <c r="J30" s="161">
        <f t="shared" ca="1" si="6"/>
        <v>56002.93623367633</v>
      </c>
    </row>
    <row r="31" spans="3:10">
      <c r="E31" s="112"/>
    </row>
    <row r="32" spans="3:10">
      <c r="C32" s="1" t="s">
        <v>178</v>
      </c>
      <c r="E32" s="112"/>
      <c r="F32" s="160">
        <f ca="1">'FSM Forecast'!F86+'FSM Forecast'!F87</f>
        <v>-17352.049260417087</v>
      </c>
      <c r="G32" s="160">
        <f ca="1">'FSM Forecast'!G86+'FSM Forecast'!G87</f>
        <v>-10866.105254563619</v>
      </c>
      <c r="H32" s="160">
        <f ca="1">'FSM Forecast'!H86+'FSM Forecast'!H87</f>
        <v>1136.6834982246037</v>
      </c>
      <c r="I32" s="160">
        <f ca="1">'FSM Forecast'!I86+'FSM Forecast'!I87</f>
        <v>2597.6178202775955</v>
      </c>
      <c r="J32" s="160">
        <f ca="1">'FSM Forecast'!J86+'FSM Forecast'!J87</f>
        <v>-2108.1803034495169</v>
      </c>
    </row>
    <row r="33" spans="2:11">
      <c r="B33" s="1" t="s">
        <v>125</v>
      </c>
      <c r="C33" s="29" t="s">
        <v>73</v>
      </c>
      <c r="D33" s="29"/>
      <c r="E33" s="156"/>
      <c r="F33" s="156">
        <f ca="1">F32/F14</f>
        <v>-0.15597027347857517</v>
      </c>
      <c r="G33" s="156">
        <f t="shared" ref="G33:J33" ca="1" si="7">G32/G14</f>
        <v>-6.8944815658472658E-2</v>
      </c>
      <c r="H33" s="156">
        <f t="shared" ca="1" si="7"/>
        <v>7.1659485157725402E-3</v>
      </c>
      <c r="I33" s="156">
        <f t="shared" ca="1" si="7"/>
        <v>1.7467795827972896E-2</v>
      </c>
      <c r="J33" s="156">
        <f t="shared" ca="1" si="7"/>
        <v>-1.3126436681981712E-2</v>
      </c>
    </row>
    <row r="34" spans="2:11">
      <c r="C34" s="29"/>
      <c r="D34" s="29"/>
      <c r="E34" s="156"/>
      <c r="F34" s="156"/>
      <c r="G34" s="156"/>
      <c r="H34" s="156"/>
      <c r="I34" s="156"/>
      <c r="J34" s="156"/>
    </row>
    <row r="35" spans="2:11">
      <c r="C35" s="195" t="s">
        <v>224</v>
      </c>
      <c r="D35" s="195"/>
      <c r="E35" s="195"/>
      <c r="F35" s="156"/>
      <c r="G35" s="156"/>
      <c r="H35" s="156"/>
      <c r="I35" s="156"/>
      <c r="J35" s="156"/>
    </row>
    <row r="36" spans="2:11">
      <c r="C36" s="196"/>
      <c r="D36" s="196"/>
      <c r="E36" s="196"/>
      <c r="F36" s="196"/>
      <c r="G36" s="156"/>
      <c r="H36" s="156"/>
      <c r="I36" s="156"/>
      <c r="J36" s="156"/>
      <c r="K36" s="156"/>
    </row>
    <row r="37" spans="2:11" ht="15">
      <c r="C37" s="196" t="s">
        <v>225</v>
      </c>
      <c r="D37" s="196"/>
      <c r="E37" s="196"/>
      <c r="F37" s="266">
        <v>4.2630000000000001E-2</v>
      </c>
      <c r="G37" s="156"/>
      <c r="H37" s="156"/>
      <c r="I37" s="156"/>
      <c r="J37" s="156"/>
      <c r="K37" s="156"/>
    </row>
    <row r="38" spans="2:11">
      <c r="C38" s="196" t="s">
        <v>226</v>
      </c>
      <c r="D38" s="196"/>
      <c r="E38" s="196"/>
      <c r="F38" s="267">
        <v>1.3</v>
      </c>
      <c r="G38" s="156"/>
      <c r="H38" s="156"/>
      <c r="I38" s="156"/>
      <c r="J38" s="156"/>
      <c r="K38" s="156"/>
    </row>
    <row r="39" spans="2:11" ht="15">
      <c r="C39" s="196" t="s">
        <v>227</v>
      </c>
      <c r="D39" s="196"/>
      <c r="E39" s="196"/>
      <c r="F39" s="266">
        <v>0.05</v>
      </c>
      <c r="G39" s="156"/>
      <c r="H39" s="156"/>
      <c r="I39" s="156"/>
      <c r="J39" s="156"/>
      <c r="K39" s="156"/>
    </row>
    <row r="40" spans="2:11">
      <c r="C40" s="197" t="s">
        <v>228</v>
      </c>
      <c r="D40" s="198"/>
      <c r="E40" s="199"/>
      <c r="F40" s="200">
        <f>F37+F38*F39</f>
        <v>0.10763</v>
      </c>
      <c r="G40" s="156"/>
      <c r="H40" s="156"/>
      <c r="I40" s="156"/>
      <c r="J40" s="156"/>
      <c r="K40" s="156"/>
    </row>
    <row r="41" spans="2:11">
      <c r="C41" s="196"/>
      <c r="D41" s="196"/>
      <c r="E41" s="196"/>
      <c r="F41" s="196"/>
      <c r="G41" s="156"/>
      <c r="H41" s="156"/>
      <c r="I41" s="156"/>
      <c r="J41" s="156"/>
      <c r="K41" s="156"/>
    </row>
    <row r="42" spans="2:11">
      <c r="C42" s="196" t="s">
        <v>229</v>
      </c>
      <c r="D42" s="196"/>
      <c r="E42" s="196"/>
      <c r="F42" s="208">
        <f>'FSM Forecast'!F164</f>
        <v>5.2499999999999998E-2</v>
      </c>
      <c r="G42" s="156"/>
      <c r="H42" s="156"/>
      <c r="I42" s="156"/>
      <c r="J42" s="156"/>
      <c r="K42" s="156"/>
    </row>
    <row r="43" spans="2:11">
      <c r="C43" s="196" t="s">
        <v>31</v>
      </c>
      <c r="D43" s="196"/>
      <c r="E43" s="196"/>
      <c r="F43" s="271">
        <f>'FSM Forecast'!F44</f>
        <v>0.16500000000000001</v>
      </c>
      <c r="G43" s="156"/>
      <c r="H43" s="156"/>
      <c r="I43" s="156"/>
      <c r="J43" s="156"/>
      <c r="K43" s="156"/>
    </row>
    <row r="44" spans="2:11">
      <c r="C44" s="197" t="s">
        <v>230</v>
      </c>
      <c r="D44" s="198"/>
      <c r="E44" s="198"/>
      <c r="F44" s="200">
        <f>F42*(1-F43)</f>
        <v>4.3837499999999995E-2</v>
      </c>
      <c r="G44" s="156"/>
      <c r="H44" s="156"/>
      <c r="I44" s="156"/>
      <c r="J44" s="156"/>
      <c r="K44" s="156"/>
    </row>
    <row r="45" spans="2:11">
      <c r="C45" s="196"/>
      <c r="D45" s="196"/>
      <c r="E45" s="196"/>
      <c r="F45" s="196"/>
      <c r="G45" s="156"/>
      <c r="H45" s="156"/>
      <c r="I45" s="156"/>
      <c r="J45" s="156"/>
      <c r="K45" s="156"/>
    </row>
    <row r="46" spans="2:11">
      <c r="C46" s="201" t="s">
        <v>231</v>
      </c>
      <c r="D46" s="196"/>
      <c r="E46" s="196"/>
      <c r="F46" s="196"/>
      <c r="G46" s="156"/>
      <c r="H46" s="156"/>
      <c r="I46" s="156"/>
      <c r="J46" s="156"/>
      <c r="K46" s="156"/>
    </row>
    <row r="47" spans="2:11">
      <c r="C47" s="202" t="s">
        <v>207</v>
      </c>
      <c r="D47" s="196"/>
      <c r="E47" s="203">
        <f ca="1">'FSM Forecast'!F161+'FSM Forecast'!F157</f>
        <v>14067</v>
      </c>
      <c r="F47" s="204">
        <f ca="1">E47/E49</f>
        <v>1.3795750166443752E-2</v>
      </c>
      <c r="G47" s="156"/>
      <c r="H47" s="156"/>
      <c r="I47" s="156"/>
      <c r="J47" s="156"/>
      <c r="K47" s="156"/>
    </row>
    <row r="48" spans="2:11">
      <c r="C48" s="202" t="s">
        <v>232</v>
      </c>
      <c r="D48" s="196"/>
      <c r="E48" s="203">
        <f>'FSM Forecast'!C11*I5</f>
        <v>1005594.8400799999</v>
      </c>
      <c r="F48" s="204">
        <f ca="1">E48/E49</f>
        <v>0.98620424983355626</v>
      </c>
      <c r="G48" s="156"/>
      <c r="H48" s="156"/>
      <c r="I48" s="156"/>
      <c r="J48" s="156"/>
      <c r="K48" s="156"/>
    </row>
    <row r="49" spans="3:11">
      <c r="C49" s="205" t="s">
        <v>233</v>
      </c>
      <c r="D49" s="198"/>
      <c r="E49" s="206">
        <f ca="1">SUM(E47:E48)</f>
        <v>1019661.8400799999</v>
      </c>
      <c r="F49" s="200">
        <f ca="1">SUM(F47:F48)</f>
        <v>1</v>
      </c>
      <c r="G49" s="156"/>
      <c r="H49" s="156"/>
      <c r="I49" s="156"/>
      <c r="J49" s="156"/>
      <c r="K49" s="156"/>
    </row>
    <row r="50" spans="3:11">
      <c r="C50" s="196"/>
      <c r="D50" s="196"/>
      <c r="E50" s="196"/>
      <c r="F50" s="207"/>
      <c r="G50" s="156"/>
      <c r="H50" s="156"/>
      <c r="I50" s="156"/>
      <c r="J50" s="156"/>
      <c r="K50" s="156"/>
    </row>
    <row r="51" spans="3:11" ht="15" thickBot="1">
      <c r="C51" s="194" t="s">
        <v>224</v>
      </c>
      <c r="D51" s="194"/>
      <c r="E51" s="194"/>
      <c r="F51" s="248">
        <f ca="1">F40*F48+F44*F47</f>
        <v>0.10674993460750713</v>
      </c>
      <c r="G51" s="156"/>
      <c r="H51" s="156"/>
      <c r="I51" s="156"/>
      <c r="J51" s="156"/>
      <c r="K51" s="156"/>
    </row>
    <row r="52" spans="3:11" ht="15" thickTop="1">
      <c r="C52" s="29"/>
      <c r="D52" s="29"/>
      <c r="F52" s="156"/>
      <c r="G52" s="156"/>
      <c r="H52" s="156"/>
      <c r="I52" s="156"/>
      <c r="J52" s="156"/>
      <c r="K52" s="156"/>
    </row>
    <row r="53" spans="3:11">
      <c r="C53" s="134" t="str">
        <f>"Present value of UFCF on "&amp;TEXT(D7,"mmm dd, yyyy")&amp;" valuation date"</f>
        <v>Present value of UFCF on May 26, 2026 valuation date</v>
      </c>
      <c r="D53" s="65"/>
      <c r="E53" s="162"/>
      <c r="F53" s="65"/>
      <c r="G53" s="162"/>
      <c r="H53" s="162"/>
      <c r="I53" s="162"/>
      <c r="J53" s="162"/>
    </row>
    <row r="54" spans="3:11" ht="16.2">
      <c r="C54" s="27"/>
      <c r="D54" s="185"/>
      <c r="E54" s="163" t="s">
        <v>179</v>
      </c>
      <c r="F54" s="163" t="s">
        <v>180</v>
      </c>
      <c r="G54" s="187" t="s">
        <v>181</v>
      </c>
      <c r="H54" s="187" t="s">
        <v>182</v>
      </c>
      <c r="I54" s="187" t="s">
        <v>183</v>
      </c>
      <c r="J54" s="187" t="s">
        <v>184</v>
      </c>
    </row>
    <row r="55" spans="3:11">
      <c r="C55" s="1" t="s">
        <v>185</v>
      </c>
      <c r="D55" s="185"/>
      <c r="E55" s="159">
        <f>D7</f>
        <v>46168</v>
      </c>
      <c r="F55" s="159">
        <f>IF($I$7=1,AVERAGE(F12,E55),F12)</f>
        <v>46261</v>
      </c>
      <c r="G55" s="159">
        <f>IF($I$7=1,AVERAGE(F12,G12),G12)</f>
        <v>46625</v>
      </c>
      <c r="H55" s="159">
        <f>IF($I$7=1,AVERAGE(G12,H12),H12)</f>
        <v>46996</v>
      </c>
      <c r="I55" s="159">
        <f>IF($I$7=1,AVERAGE(H12,I12),I12)</f>
        <v>47360</v>
      </c>
      <c r="J55" s="159">
        <f>IF($I$7=1,AVERAGE(I12,J12),J12)</f>
        <v>47724</v>
      </c>
    </row>
    <row r="56" spans="3:11">
      <c r="C56" s="1" t="s">
        <v>186</v>
      </c>
      <c r="D56" s="165">
        <f>D8</f>
        <v>0.74722222222222223</v>
      </c>
      <c r="E56" s="98"/>
      <c r="F56" s="166">
        <f ca="1">F30*D56</f>
        <v>23935.869271046078</v>
      </c>
      <c r="G56" s="166">
        <f ca="1">G30</f>
        <v>68815.809713804716</v>
      </c>
      <c r="H56" s="166">
        <f ca="1">H30</f>
        <v>64213.598436899207</v>
      </c>
      <c r="I56" s="166">
        <f ca="1">I30</f>
        <v>58822.707948972748</v>
      </c>
      <c r="J56" s="166">
        <f ca="1">J30</f>
        <v>56002.93623367633</v>
      </c>
    </row>
    <row r="57" spans="3:11">
      <c r="C57" s="27" t="s">
        <v>187</v>
      </c>
      <c r="D57" s="167"/>
      <c r="E57" s="161"/>
      <c r="F57" s="161">
        <f ca="1">F56/(1+$I$4)^((F55-$D$7)/365)</f>
        <v>23325.213720976873</v>
      </c>
      <c r="G57" s="161">
        <f ca="1">G56/(1+$I$4)^((G55-$D$7)/365)</f>
        <v>60608.820228581964</v>
      </c>
      <c r="H57" s="161">
        <f ca="1">H56/(1+$I$4)^((H55-$D$7)/365)</f>
        <v>51015.366083011453</v>
      </c>
      <c r="I57" s="161">
        <f ca="1">I56/(1+$I$4)^((I55-$D$7)/365)</f>
        <v>42236.720714367701</v>
      </c>
      <c r="J57" s="161">
        <f ca="1">J56/(1+$I$4)^((J55-$D$7)/365)</f>
        <v>36343.533932059123</v>
      </c>
    </row>
    <row r="59" spans="3:11">
      <c r="C59" s="134" t="s">
        <v>188</v>
      </c>
      <c r="D59" s="134"/>
      <c r="F59" s="134" t="s">
        <v>189</v>
      </c>
      <c r="G59" s="65"/>
      <c r="H59" s="65"/>
      <c r="I59" s="65"/>
      <c r="J59" s="65"/>
    </row>
    <row r="60" spans="3:11">
      <c r="C60" s="1" t="s">
        <v>190</v>
      </c>
      <c r="D60" s="55">
        <v>0.03</v>
      </c>
      <c r="F60" s="1" t="s">
        <v>191</v>
      </c>
      <c r="J60" s="98">
        <f ca="1">J16</f>
        <v>109585.58942181215</v>
      </c>
    </row>
    <row r="61" spans="3:11">
      <c r="C61" s="168" t="str">
        <f>YEAR(J12)&amp;" FCF x (1+g)"</f>
        <v>2030 FCF x (1+g)</v>
      </c>
      <c r="D61" s="98">
        <f ca="1">J56*(1+D60)</f>
        <v>57683.024320686622</v>
      </c>
      <c r="F61" s="1" t="s">
        <v>192</v>
      </c>
      <c r="J61" s="169">
        <v>7</v>
      </c>
    </row>
    <row r="62" spans="3:11">
      <c r="C62" s="1" t="str">
        <f>"Terminal value in "&amp;YEAR(J12)</f>
        <v>Terminal value in 2030</v>
      </c>
      <c r="D62" s="98">
        <f ca="1">D61/(I4-D60)</f>
        <v>751570.98980830237</v>
      </c>
      <c r="F62" s="1" t="str">
        <f>"Terminal value in "&amp;YEAR(J12)</f>
        <v>Terminal value in 2030</v>
      </c>
      <c r="J62" s="98">
        <f ca="1">J60*J61</f>
        <v>767099.12595268502</v>
      </c>
    </row>
    <row r="63" spans="3:11">
      <c r="C63" s="1" t="s">
        <v>193</v>
      </c>
      <c r="D63" s="98">
        <f ca="1">D62/(1+I4)^((J12-$E$55)/365)</f>
        <v>487737.74390107929</v>
      </c>
      <c r="F63" s="1" t="s">
        <v>193</v>
      </c>
      <c r="J63" s="98">
        <f ca="1">J62/(1+I4)^((J12-E55)/365)</f>
        <v>497814.84665351757</v>
      </c>
    </row>
    <row r="64" spans="3:11">
      <c r="C64" s="1" t="s">
        <v>194</v>
      </c>
      <c r="D64" s="160">
        <f ca="1">SUM(F57:J57)</f>
        <v>213529.65467899712</v>
      </c>
      <c r="F64" s="1" t="s">
        <v>194</v>
      </c>
      <c r="J64" s="98">
        <f ca="1">D64</f>
        <v>213529.65467899712</v>
      </c>
    </row>
    <row r="65" spans="3:10">
      <c r="C65" s="27" t="s">
        <v>195</v>
      </c>
      <c r="D65" s="170">
        <f ca="1">D64+D63</f>
        <v>701267.39858007641</v>
      </c>
      <c r="F65" s="27" t="s">
        <v>196</v>
      </c>
      <c r="J65" s="170">
        <f ca="1">SUM(J63:J64)</f>
        <v>711344.50133251469</v>
      </c>
    </row>
    <row r="67" spans="3:10">
      <c r="C67" s="171" t="s">
        <v>197</v>
      </c>
      <c r="D67" s="172">
        <f ca="1">D63/$D$65</f>
        <v>0.69550893837165229</v>
      </c>
      <c r="F67" s="171" t="s">
        <v>197</v>
      </c>
      <c r="J67" s="172">
        <f ca="1">+J63/J65</f>
        <v>0.69982244288244855</v>
      </c>
    </row>
    <row r="68" spans="3:10">
      <c r="C68" s="171" t="s">
        <v>198</v>
      </c>
      <c r="D68" s="172">
        <f ca="1">1-D67</f>
        <v>0.30449106162834771</v>
      </c>
      <c r="F68" s="171" t="s">
        <v>199</v>
      </c>
      <c r="H68" s="173"/>
      <c r="J68" s="60">
        <f ca="1">1-J67</f>
        <v>0.30017755711755145</v>
      </c>
    </row>
    <row r="69" spans="3:10">
      <c r="C69" s="171" t="s">
        <v>200</v>
      </c>
      <c r="D69" s="174">
        <f ca="1">(D62/J16)</f>
        <v>6.8583012946655559</v>
      </c>
      <c r="F69" s="1" t="s">
        <v>201</v>
      </c>
      <c r="J69" s="175">
        <f ca="1">(I4-J56/J62)/(1+J56/J62)</f>
        <v>3.1447916957578953E-2</v>
      </c>
    </row>
    <row r="70" spans="3:10">
      <c r="C70" s="171"/>
      <c r="D70" s="20"/>
      <c r="E70" s="174"/>
      <c r="J70" s="175"/>
    </row>
    <row r="71" spans="3:10">
      <c r="C71" s="134" t="s">
        <v>202</v>
      </c>
      <c r="D71" s="65"/>
      <c r="F71" s="27"/>
      <c r="H71" s="27"/>
    </row>
    <row r="72" spans="3:10">
      <c r="C72" s="1" t="s">
        <v>204</v>
      </c>
      <c r="D72" s="155" t="s">
        <v>234</v>
      </c>
    </row>
    <row r="73" spans="3:10">
      <c r="C73" s="31" t="s">
        <v>205</v>
      </c>
      <c r="D73" s="164">
        <f>D7</f>
        <v>46168</v>
      </c>
      <c r="H73" s="33"/>
      <c r="I73" s="215"/>
      <c r="J73" s="215"/>
    </row>
    <row r="74" spans="3:10">
      <c r="C74" s="176" t="s">
        <v>206</v>
      </c>
      <c r="D74" s="177"/>
      <c r="H74" s="155"/>
      <c r="I74" s="155"/>
      <c r="J74" s="216"/>
    </row>
    <row r="75" spans="3:10">
      <c r="C75" s="29" t="s">
        <v>207</v>
      </c>
      <c r="D75" s="25">
        <v>10059</v>
      </c>
      <c r="F75" s="31"/>
      <c r="H75" s="155"/>
      <c r="I75" s="155"/>
      <c r="J75" s="216"/>
    </row>
    <row r="76" spans="3:10">
      <c r="C76" s="29" t="s">
        <v>208</v>
      </c>
      <c r="D76" s="25">
        <v>0</v>
      </c>
      <c r="F76" s="31"/>
      <c r="H76" s="155"/>
      <c r="I76" s="155"/>
      <c r="J76" s="217"/>
    </row>
    <row r="77" spans="3:10">
      <c r="C77" s="29" t="s">
        <v>209</v>
      </c>
      <c r="D77" s="25">
        <v>0</v>
      </c>
      <c r="H77" s="155"/>
      <c r="I77" s="155"/>
      <c r="J77" s="217"/>
    </row>
    <row r="78" spans="3:10">
      <c r="C78" s="178" t="s">
        <v>210</v>
      </c>
      <c r="D78" s="25">
        <v>0</v>
      </c>
      <c r="H78" s="155"/>
      <c r="I78" s="155"/>
      <c r="J78" s="217"/>
    </row>
    <row r="79" spans="3:10">
      <c r="C79" s="176" t="s">
        <v>211</v>
      </c>
    </row>
    <row r="80" spans="3:10">
      <c r="C80" s="179" t="s">
        <v>213</v>
      </c>
      <c r="D80" s="25">
        <v>16700</v>
      </c>
    </row>
    <row r="81" spans="2:5">
      <c r="C81" s="179" t="s">
        <v>214</v>
      </c>
      <c r="D81" s="25">
        <v>183</v>
      </c>
    </row>
    <row r="83" spans="2:5">
      <c r="B83" s="1" t="s">
        <v>125</v>
      </c>
      <c r="C83" s="213" t="s">
        <v>202</v>
      </c>
      <c r="D83" s="214">
        <f>SUM(D75:D78)-SUM(D80:D81)</f>
        <v>-6824</v>
      </c>
    </row>
    <row r="84" spans="2:5">
      <c r="C84" s="180"/>
      <c r="D84" s="44"/>
    </row>
    <row r="85" spans="2:5">
      <c r="C85" s="212" t="s">
        <v>212</v>
      </c>
      <c r="D85" s="218">
        <f ca="1">'FSM Forecast'!F180</f>
        <v>1124.7933090800343</v>
      </c>
    </row>
    <row r="87" spans="2:5">
      <c r="C87" s="134" t="s">
        <v>215</v>
      </c>
      <c r="D87" s="65"/>
      <c r="E87" s="65"/>
    </row>
    <row r="88" spans="2:5" ht="16.2">
      <c r="D88" s="184" t="s">
        <v>216</v>
      </c>
      <c r="E88" s="184" t="s">
        <v>23</v>
      </c>
    </row>
    <row r="89" spans="2:5">
      <c r="C89" s="1" t="s">
        <v>217</v>
      </c>
      <c r="D89" s="219">
        <f ca="1">D65</f>
        <v>701267.39858007641</v>
      </c>
      <c r="E89" s="219">
        <f ca="1">J65</f>
        <v>711344.50133251469</v>
      </c>
    </row>
    <row r="90" spans="2:5">
      <c r="C90" s="1" t="s">
        <v>202</v>
      </c>
      <c r="D90" s="181">
        <f>$D$83</f>
        <v>-6824</v>
      </c>
      <c r="E90" s="181">
        <f t="shared" ref="E90" si="8">$D$83</f>
        <v>-6824</v>
      </c>
    </row>
    <row r="91" spans="2:5">
      <c r="C91" s="1" t="s">
        <v>218</v>
      </c>
      <c r="D91" s="220">
        <f ca="1">D89-D90</f>
        <v>708091.39858007641</v>
      </c>
      <c r="E91" s="220">
        <f ca="1">E89-E90</f>
        <v>718168.50133251469</v>
      </c>
    </row>
    <row r="92" spans="2:5">
      <c r="C92" s="1" t="s">
        <v>203</v>
      </c>
      <c r="D92" s="220">
        <f ca="1">$D$85</f>
        <v>1124.7933090800343</v>
      </c>
      <c r="E92" s="220">
        <f t="shared" ref="E92" ca="1" si="9">$D$85</f>
        <v>1124.7933090800343</v>
      </c>
    </row>
    <row r="93" spans="2:5">
      <c r="C93" s="14" t="s">
        <v>219</v>
      </c>
      <c r="D93" s="188">
        <f ca="1">D91/D92</f>
        <v>629.53023712349659</v>
      </c>
      <c r="E93" s="188">
        <f ca="1">E91/E92</f>
        <v>638.48930779993964</v>
      </c>
    </row>
    <row r="95" spans="2:5" ht="16.2">
      <c r="C95" s="160"/>
      <c r="D95" s="223" t="s">
        <v>235</v>
      </c>
      <c r="E95" s="223"/>
    </row>
    <row r="96" spans="2:5">
      <c r="C96" s="33"/>
      <c r="D96" s="121" t="s">
        <v>216</v>
      </c>
      <c r="E96" s="121" t="s">
        <v>23</v>
      </c>
    </row>
    <row r="97" spans="3:18">
      <c r="C97" s="1" t="s">
        <v>220</v>
      </c>
      <c r="D97" s="221">
        <f ca="1">D89/$F$14</f>
        <v>6.3033977311054752</v>
      </c>
      <c r="E97" s="221">
        <f ca="1">E89/$F$14</f>
        <v>6.393976569868622</v>
      </c>
    </row>
    <row r="98" spans="3:18">
      <c r="C98" s="1" t="s">
        <v>221</v>
      </c>
      <c r="D98" s="221">
        <f ca="1">D89/$F$16</f>
        <v>8.053291828323216</v>
      </c>
      <c r="E98" s="221">
        <f ca="1">E89/$F$16</f>
        <v>8.1690163713630106</v>
      </c>
    </row>
    <row r="99" spans="3:18">
      <c r="C99" s="211" t="s">
        <v>222</v>
      </c>
      <c r="D99" s="222">
        <f ca="1">D89/$F$18</f>
        <v>9.8954438478892843</v>
      </c>
      <c r="E99" s="222">
        <f ca="1">E89/$F$18</f>
        <v>10.037639827109295</v>
      </c>
    </row>
    <row r="100" spans="3:18" ht="16.2">
      <c r="C100" s="160"/>
      <c r="D100" s="223" t="s">
        <v>223</v>
      </c>
      <c r="E100" s="223"/>
      <c r="F100" s="182"/>
      <c r="G100" s="182"/>
    </row>
    <row r="101" spans="3:18">
      <c r="C101" s="33"/>
      <c r="D101" s="121" t="s">
        <v>216</v>
      </c>
      <c r="E101" s="121" t="s">
        <v>23</v>
      </c>
      <c r="F101" s="182"/>
      <c r="G101" s="182"/>
    </row>
    <row r="102" spans="3:18">
      <c r="C102" s="1" t="s">
        <v>220</v>
      </c>
      <c r="D102" s="221">
        <f ca="1">D89/$F$14</f>
        <v>6.3033977311054752</v>
      </c>
      <c r="E102" s="221">
        <f ca="1">E89/$F$14</f>
        <v>6.393976569868622</v>
      </c>
      <c r="F102" s="182"/>
      <c r="G102" s="182"/>
    </row>
    <row r="103" spans="3:18">
      <c r="C103" s="1" t="s">
        <v>221</v>
      </c>
      <c r="D103" s="221">
        <f ca="1">D89/$F$16</f>
        <v>8.053291828323216</v>
      </c>
      <c r="E103" s="221">
        <f ca="1">E89/$F$16</f>
        <v>8.1690163713630106</v>
      </c>
      <c r="F103" s="182"/>
      <c r="G103" s="182"/>
    </row>
    <row r="104" spans="3:18">
      <c r="C104" s="211" t="s">
        <v>222</v>
      </c>
      <c r="D104" s="222">
        <f ca="1">D89/$F$18</f>
        <v>9.8954438478892843</v>
      </c>
      <c r="E104" s="222">
        <f ca="1">E89/$F$18</f>
        <v>10.037639827109295</v>
      </c>
      <c r="F104" s="182"/>
      <c r="G104" s="182"/>
    </row>
    <row r="106" spans="3:18">
      <c r="C106" s="238" t="s">
        <v>236</v>
      </c>
      <c r="D106" s="236"/>
      <c r="E106" s="236"/>
      <c r="F106" s="236"/>
      <c r="G106" s="236"/>
      <c r="H106" s="236"/>
      <c r="I106" s="236"/>
      <c r="J106" s="236"/>
      <c r="K106" s="236"/>
      <c r="L106" s="236"/>
      <c r="M106" s="236"/>
      <c r="N106" s="236"/>
      <c r="O106" s="236"/>
      <c r="P106" s="236"/>
      <c r="Q106" s="236"/>
      <c r="R106" s="236"/>
    </row>
    <row r="108" spans="3:18">
      <c r="E108" s="236"/>
      <c r="F108" s="235" t="s">
        <v>240</v>
      </c>
      <c r="G108" s="235"/>
      <c r="H108" s="235"/>
      <c r="I108" s="235"/>
      <c r="J108" s="235"/>
      <c r="M108" s="236"/>
      <c r="N108" s="235" t="s">
        <v>241</v>
      </c>
      <c r="O108" s="235"/>
      <c r="P108" s="235"/>
      <c r="Q108" s="235"/>
      <c r="R108" s="235"/>
    </row>
    <row r="109" spans="3:18">
      <c r="E109" s="225"/>
      <c r="F109" s="225" t="s">
        <v>239</v>
      </c>
      <c r="G109" s="225"/>
      <c r="H109" s="225"/>
      <c r="I109" s="225"/>
      <c r="J109" s="225"/>
      <c r="N109" s="225" t="s">
        <v>239</v>
      </c>
      <c r="O109" s="225"/>
      <c r="P109" s="225"/>
      <c r="Q109" s="225"/>
      <c r="R109" s="225"/>
    </row>
    <row r="110" spans="3:18">
      <c r="E110" s="224">
        <f ca="1">D93</f>
        <v>629.53023712349659</v>
      </c>
      <c r="F110" s="233">
        <f>G110-0.005</f>
        <v>1.9999999999999997E-2</v>
      </c>
      <c r="G110" s="233">
        <f>H110-0.005</f>
        <v>2.4999999999999998E-2</v>
      </c>
      <c r="H110" s="234">
        <v>0.03</v>
      </c>
      <c r="I110" s="233">
        <f>H110+0.005</f>
        <v>3.4999999999999996E-2</v>
      </c>
      <c r="J110" s="233">
        <f>I110+0.005</f>
        <v>3.9999999999999994E-2</v>
      </c>
      <c r="M110" s="232">
        <f ca="1">D103</f>
        <v>8.053291828323216</v>
      </c>
      <c r="N110" s="226">
        <f>O110-0.005</f>
        <v>1.9999999999999997E-2</v>
      </c>
      <c r="O110" s="226">
        <f>P110-0.005</f>
        <v>2.4999999999999998E-2</v>
      </c>
      <c r="P110" s="227">
        <v>0.03</v>
      </c>
      <c r="Q110" s="226">
        <f>P110+0.005</f>
        <v>3.4999999999999996E-2</v>
      </c>
      <c r="R110" s="226">
        <f>Q110+0.005</f>
        <v>3.9999999999999994E-2</v>
      </c>
    </row>
    <row r="111" spans="3:18">
      <c r="E111" s="228">
        <f>E112+0.005</f>
        <v>0.11670000000000001</v>
      </c>
      <c r="F111" s="230">
        <f t="dataTable" ref="F111:J115" dt2D="1" dtr="1" r1="D60" r2="I4" ca="1"/>
        <v>520.11870814317854</v>
      </c>
      <c r="G111" s="230">
        <v>539.70240866410779</v>
      </c>
      <c r="H111" s="230">
        <v>561.54489817245712</v>
      </c>
      <c r="I111" s="230">
        <v>586.06088700863359</v>
      </c>
      <c r="J111" s="230">
        <v>613.77322380259068</v>
      </c>
      <c r="M111" s="228">
        <f>M112+0.005</f>
        <v>0.11670000000000001</v>
      </c>
      <c r="N111" s="221">
        <f t="dataTable" ref="N111:R115" dt2D="1" dtr="1" r1="D60" r2="F51" ca="1"/>
        <v>6.6400203349053921</v>
      </c>
      <c r="O111" s="221">
        <v>6.8929834909804697</v>
      </c>
      <c r="P111" s="221">
        <v>7.1751234816662874</v>
      </c>
      <c r="Q111" s="221">
        <v>7.4917971309427784</v>
      </c>
      <c r="R111" s="221">
        <v>7.8497580878172482</v>
      </c>
    </row>
    <row r="112" spans="3:18">
      <c r="E112" s="228">
        <f>E113+0.005</f>
        <v>0.11170000000000001</v>
      </c>
      <c r="F112" s="230">
        <v>546.60622048196308</v>
      </c>
      <c r="G112" s="230">
        <v>568.77090006132948</v>
      </c>
      <c r="H112" s="230">
        <v>593.64851471772965</v>
      </c>
      <c r="I112" s="230">
        <v>621.769625417989</v>
      </c>
      <c r="J112" s="230">
        <v>653.81278781981882</v>
      </c>
      <c r="M112" s="228">
        <f>M113+0.005</f>
        <v>0.11170000000000001</v>
      </c>
      <c r="N112" s="221">
        <v>6.9821602032431338</v>
      </c>
      <c r="O112" s="221">
        <v>7.2684619312437873</v>
      </c>
      <c r="P112" s="221">
        <v>7.5898067104073128</v>
      </c>
      <c r="Q112" s="221">
        <v>7.9530478101918947</v>
      </c>
      <c r="R112" s="221">
        <v>8.3669501512295597</v>
      </c>
    </row>
    <row r="113" spans="4:18">
      <c r="D113" s="1" t="s">
        <v>237</v>
      </c>
      <c r="E113" s="229">
        <v>0.1067</v>
      </c>
      <c r="F113" s="230">
        <v>576.13164533586666</v>
      </c>
      <c r="G113" s="230">
        <v>601.37788638069151</v>
      </c>
      <c r="H113" s="230">
        <v>629.91568427621075</v>
      </c>
      <c r="I113" s="230">
        <v>662.43364924223465</v>
      </c>
      <c r="J113" s="230">
        <v>699.82687132460433</v>
      </c>
      <c r="L113" s="1" t="s">
        <v>237</v>
      </c>
      <c r="M113" s="229">
        <v>0.1067</v>
      </c>
      <c r="N113" s="221">
        <v>7.3635408645496625</v>
      </c>
      <c r="O113" s="221">
        <v>7.6896472001171352</v>
      </c>
      <c r="P113" s="221">
        <v>8.058270658965899</v>
      </c>
      <c r="Q113" s="221">
        <v>8.4783060367614898</v>
      </c>
      <c r="R113" s="221">
        <v>8.9613152343165439</v>
      </c>
    </row>
    <row r="114" spans="4:18">
      <c r="E114" s="228">
        <f>E113-0.005</f>
        <v>0.1017</v>
      </c>
      <c r="F114" s="230">
        <v>609.25234426200257</v>
      </c>
      <c r="G114" s="230">
        <v>638.21493262861429</v>
      </c>
      <c r="H114" s="230">
        <v>671.2169335986589</v>
      </c>
      <c r="I114" s="230">
        <v>709.16676080109369</v>
      </c>
      <c r="J114" s="230">
        <v>753.26728933293487</v>
      </c>
      <c r="M114" s="228">
        <f>M113-0.005</f>
        <v>0.1017</v>
      </c>
      <c r="N114" s="221">
        <v>7.7913617721873081</v>
      </c>
      <c r="O114" s="221">
        <v>8.1654722603195982</v>
      </c>
      <c r="P114" s="221">
        <v>8.5917599434494232</v>
      </c>
      <c r="Q114" s="221">
        <v>9.0819588234502824</v>
      </c>
      <c r="R114" s="221">
        <v>9.6516064684431804</v>
      </c>
    </row>
    <row r="115" spans="4:18">
      <c r="E115" s="228">
        <v>0.11600000000000001</v>
      </c>
      <c r="F115" s="230">
        <v>523.66178195902171</v>
      </c>
      <c r="G115" s="230">
        <v>543.58073613329339</v>
      </c>
      <c r="H115" s="230">
        <v>565.81584776968987</v>
      </c>
      <c r="I115" s="230">
        <v>590.79603491675255</v>
      </c>
      <c r="J115" s="230">
        <v>619.0630887936918</v>
      </c>
      <c r="M115" s="228">
        <v>0.11600000000000001</v>
      </c>
      <c r="N115" s="221">
        <v>6.6857863092014558</v>
      </c>
      <c r="O115" s="221">
        <v>6.9430799452154286</v>
      </c>
      <c r="P115" s="221">
        <v>7.2302914458821901</v>
      </c>
      <c r="Q115" s="221">
        <v>7.552961156507811</v>
      </c>
      <c r="R115" s="221">
        <v>7.9180874080052241</v>
      </c>
    </row>
    <row r="116" spans="4:18">
      <c r="E116" s="237"/>
      <c r="F116" s="230"/>
      <c r="G116" s="230"/>
      <c r="H116" s="230"/>
      <c r="I116" s="230"/>
      <c r="J116" s="230"/>
      <c r="M116" s="237"/>
      <c r="N116" s="221"/>
      <c r="O116" s="221"/>
      <c r="P116" s="221"/>
      <c r="Q116" s="221"/>
      <c r="R116" s="221"/>
    </row>
    <row r="117" spans="4:18">
      <c r="E117" s="236"/>
      <c r="F117" s="235" t="s">
        <v>240</v>
      </c>
      <c r="G117" s="235"/>
      <c r="H117" s="235"/>
      <c r="I117" s="235"/>
      <c r="J117" s="235"/>
      <c r="M117" s="236"/>
      <c r="N117" s="235" t="s">
        <v>241</v>
      </c>
      <c r="O117" s="235"/>
      <c r="P117" s="235"/>
      <c r="Q117" s="235"/>
      <c r="R117" s="235"/>
    </row>
    <row r="118" spans="4:18">
      <c r="E118" s="225"/>
      <c r="F118" s="225" t="s">
        <v>238</v>
      </c>
      <c r="G118" s="225"/>
      <c r="H118" s="225"/>
      <c r="I118" s="225"/>
      <c r="J118" s="225"/>
      <c r="N118" s="225" t="s">
        <v>238</v>
      </c>
      <c r="O118" s="225"/>
      <c r="P118" s="225"/>
      <c r="Q118" s="225"/>
      <c r="R118" s="225"/>
    </row>
    <row r="119" spans="4:18">
      <c r="E119" s="224">
        <f ca="1">E93</f>
        <v>638.48930779993964</v>
      </c>
      <c r="F119" s="222">
        <f>G119-0.5</f>
        <v>6</v>
      </c>
      <c r="G119" s="222">
        <f>H119-0.5</f>
        <v>6.5</v>
      </c>
      <c r="H119" s="231">
        <v>7</v>
      </c>
      <c r="I119" s="222">
        <f>H119+0.5</f>
        <v>7.5</v>
      </c>
      <c r="J119" s="222">
        <f>I119+0.5</f>
        <v>8</v>
      </c>
      <c r="M119" s="232">
        <f ca="1">E103</f>
        <v>8.1690163713630106</v>
      </c>
      <c r="N119" s="222">
        <f>O119-0.5</f>
        <v>6</v>
      </c>
      <c r="O119" s="222">
        <f>P119-0.5</f>
        <v>6.5</v>
      </c>
      <c r="P119" s="231">
        <v>7</v>
      </c>
      <c r="Q119" s="222">
        <f>P119+0.5</f>
        <v>7.5</v>
      </c>
      <c r="R119" s="222">
        <f>Q119+0.5</f>
        <v>8</v>
      </c>
    </row>
    <row r="120" spans="4:18">
      <c r="E120" s="228">
        <f>E121+0.005</f>
        <v>0.11670000000000001</v>
      </c>
      <c r="F120" s="230">
        <f t="dataTable" ref="F120:J124" dt2D="1" dtr="1" r1="J61" r2="I4" ca="1"/>
        <v>557.21092121167965</v>
      </c>
      <c r="G120" s="230">
        <v>587.64055340463779</v>
      </c>
      <c r="H120" s="230">
        <v>618.07018559759604</v>
      </c>
      <c r="I120" s="230">
        <v>648.49981779055429</v>
      </c>
      <c r="J120" s="230">
        <v>678.92944998351265</v>
      </c>
      <c r="M120" s="228">
        <f>M121+0.005</f>
        <v>0.11670000000000001</v>
      </c>
      <c r="N120" s="221">
        <f t="dataTable" ref="N120:R124" dt2D="1" dtr="1" r1="J61" r2="I4" ca="1"/>
        <v>7.1191413913977346</v>
      </c>
      <c r="O120" s="221">
        <v>7.5122017218244617</v>
      </c>
      <c r="P120" s="221">
        <v>7.9052620522511878</v>
      </c>
      <c r="Q120" s="221">
        <v>8.2983223826779149</v>
      </c>
      <c r="R120" s="221">
        <v>8.6913827131046428</v>
      </c>
    </row>
    <row r="121" spans="4:18">
      <c r="E121" s="228">
        <f>E122+0.005</f>
        <v>0.11170000000000001</v>
      </c>
      <c r="F121" s="230">
        <v>566.18149621502744</v>
      </c>
      <c r="G121" s="230">
        <v>597.19886367153424</v>
      </c>
      <c r="H121" s="230">
        <v>628.21623112804116</v>
      </c>
      <c r="I121" s="230">
        <v>659.23359858454796</v>
      </c>
      <c r="J121" s="230">
        <v>690.25096604105499</v>
      </c>
      <c r="M121" s="228">
        <f>M122+0.005</f>
        <v>0.11170000000000001</v>
      </c>
      <c r="N121" s="221">
        <v>7.2350145361197917</v>
      </c>
      <c r="O121" s="221">
        <v>7.6356666578448484</v>
      </c>
      <c r="P121" s="221">
        <v>8.0363187795699051</v>
      </c>
      <c r="Q121" s="221">
        <v>8.436970901294961</v>
      </c>
      <c r="R121" s="221">
        <v>8.8376230230200186</v>
      </c>
    </row>
    <row r="122" spans="4:18">
      <c r="D122" s="1" t="s">
        <v>237</v>
      </c>
      <c r="E122" s="229">
        <v>0.1067</v>
      </c>
      <c r="F122" s="230">
        <v>575.35575585854679</v>
      </c>
      <c r="G122" s="230">
        <v>606.97493700981772</v>
      </c>
      <c r="H122" s="230">
        <v>638.59411816108866</v>
      </c>
      <c r="I122" s="230">
        <v>670.21329931235971</v>
      </c>
      <c r="J122" s="230">
        <v>701.83248046363076</v>
      </c>
      <c r="L122" s="1" t="s">
        <v>237</v>
      </c>
      <c r="M122" s="229">
        <v>0.1067</v>
      </c>
      <c r="N122" s="221">
        <v>7.3535186805023454</v>
      </c>
      <c r="O122" s="221">
        <v>7.7619444449786297</v>
      </c>
      <c r="P122" s="221">
        <v>8.1703702094549122</v>
      </c>
      <c r="Q122" s="221">
        <v>8.5787959739311965</v>
      </c>
      <c r="R122" s="221">
        <v>8.9872217384074808</v>
      </c>
    </row>
    <row r="123" spans="4:18">
      <c r="E123" s="228">
        <f>E122-0.005</f>
        <v>0.1017</v>
      </c>
      <c r="F123" s="230">
        <v>584.73937771245971</v>
      </c>
      <c r="G123" s="230">
        <v>616.97485412823187</v>
      </c>
      <c r="H123" s="230">
        <v>649.21033054400368</v>
      </c>
      <c r="I123" s="230">
        <v>681.44580695977561</v>
      </c>
      <c r="J123" s="230">
        <v>713.68128337554742</v>
      </c>
      <c r="M123" s="228">
        <f>M122-0.005</f>
        <v>0.1017</v>
      </c>
      <c r="N123" s="221">
        <v>7.4747271618638784</v>
      </c>
      <c r="O123" s="221">
        <v>7.8911136278947902</v>
      </c>
      <c r="P123" s="221">
        <v>8.3075000939256984</v>
      </c>
      <c r="Q123" s="221">
        <v>8.7238865599566076</v>
      </c>
      <c r="R123" s="221">
        <v>9.1402730259875167</v>
      </c>
    </row>
    <row r="124" spans="4:18">
      <c r="E124" s="228">
        <v>0.11600000000000001</v>
      </c>
      <c r="F124" s="230">
        <v>558.45474697289308</v>
      </c>
      <c r="G124" s="230">
        <v>588.96582927924487</v>
      </c>
      <c r="H124" s="230">
        <v>619.47691158559655</v>
      </c>
      <c r="I124" s="230">
        <v>649.98799389194824</v>
      </c>
      <c r="J124" s="230">
        <v>680.49907619829992</v>
      </c>
      <c r="M124" s="228">
        <v>0.11600000000000001</v>
      </c>
      <c r="N124" s="221">
        <v>7.1352079202862759</v>
      </c>
      <c r="O124" s="221">
        <v>7.529320343892465</v>
      </c>
      <c r="P124" s="221">
        <v>7.9234327674986531</v>
      </c>
      <c r="Q124" s="221">
        <v>8.3175451911048413</v>
      </c>
      <c r="R124" s="221">
        <v>8.7116576147110294</v>
      </c>
    </row>
    <row r="152" spans="3:6">
      <c r="C152" s="239"/>
      <c r="D152" s="240" t="s">
        <v>242</v>
      </c>
      <c r="E152" s="240" t="s">
        <v>243</v>
      </c>
      <c r="F152" s="241" t="s">
        <v>244</v>
      </c>
    </row>
    <row r="153" spans="3:6">
      <c r="C153" s="242" t="str">
        <f>"DCF Value at "&amp;TEXT(F119,"0.0x")&amp;"-"&amp;TEXT(J119,"0.0x")&amp;" Exit EBITDA Range at "&amp;TEXT(E122,"0.0%")&amp;" WACC"</f>
        <v>DCF Value at 6.0x-8.0x Exit EBITDA Range at 10.7% WACC</v>
      </c>
      <c r="D153" s="243">
        <f>F122</f>
        <v>575.35575585854679</v>
      </c>
      <c r="E153" s="243">
        <f>F153-D153</f>
        <v>126.47672460508397</v>
      </c>
      <c r="F153" s="244">
        <f>J122</f>
        <v>701.83248046363076</v>
      </c>
    </row>
    <row r="154" spans="3:6">
      <c r="C154" s="245" t="str">
        <f>"DCF Value at "&amp;TEXT(F110,"0.0%")&amp;"-"&amp;TEXT(J110,"0.0%")&amp;" Perpetuity Range at "&amp;TEXT(E113,"0.0%")&amp;" WACC"</f>
        <v>DCF Value at 2.0%-4.0% Perpetuity Range at 10.7% WACC</v>
      </c>
      <c r="D154" s="243">
        <f>F113</f>
        <v>576.13164533586666</v>
      </c>
      <c r="E154" s="243">
        <f>F154-D154</f>
        <v>123.69522598873766</v>
      </c>
      <c r="F154" s="244">
        <f>J113</f>
        <v>699.82687132460433</v>
      </c>
    </row>
    <row r="155" spans="3:6">
      <c r="C155" s="246" t="s">
        <v>245</v>
      </c>
      <c r="D155" s="268">
        <v>92.22</v>
      </c>
      <c r="E155" s="247">
        <f>F155-D155</f>
        <v>824.54</v>
      </c>
      <c r="F155" s="269">
        <v>916.76</v>
      </c>
    </row>
  </sheetData>
  <dataValidations count="1">
    <dataValidation type="list" allowBlank="1" showInputMessage="1" showErrorMessage="1" sqref="I7" xr:uid="{719AAAB4-8E66-4064-894A-768136D3A04D}">
      <formula1>"0,1"</formula1>
    </dataValidation>
  </dataValidations>
  <printOptions horizontalCentered="1"/>
  <pageMargins left="0.5" right="0.5" top="0.75" bottom="0.75" header="0.25" footer="0.25"/>
  <pageSetup scale="62" fitToHeight="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FSM Forecast</vt:lpstr>
      <vt:lpstr>Revenue Build</vt:lpstr>
      <vt:lpstr>DCF</vt:lpstr>
      <vt:lpstr>DCF!Print_Area</vt:lpstr>
      <vt:lpstr>'FSM Forecast'!Print_Area</vt:lpstr>
      <vt:lpstr>'Revenue Build'!Print_Area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Tyler S</dc:creator>
  <cp:lastModifiedBy>Tyler S</cp:lastModifiedBy>
  <cp:lastPrinted>2026-06-23T23:06:53Z</cp:lastPrinted>
  <dcterms:created xsi:type="dcterms:W3CDTF">2026-01-28T13:34:01Z</dcterms:created>
  <dcterms:modified xsi:type="dcterms:W3CDTF">2026-06-23T23:17:01Z</dcterms:modified>
</cp:coreProperties>
</file>